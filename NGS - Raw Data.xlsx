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c1ad74fcd37f3d/Desktop/NGS Project/Supplementary Files/"/>
    </mc:Choice>
  </mc:AlternateContent>
  <xr:revisionPtr revIDLastSave="0" documentId="8_{31943CDB-8C73-43CF-A41D-AE991FFA683C}" xr6:coauthVersionLast="47" xr6:coauthVersionMax="47" xr10:uidLastSave="{00000000-0000-0000-0000-000000000000}"/>
  <bookViews>
    <workbookView xWindow="2268" yWindow="2268" windowWidth="30960" windowHeight="12120" xr2:uid="{ADF6D4EA-4B77-4858-96F4-D1D2E72EA24D}"/>
  </bookViews>
  <sheets>
    <sheet name="Raw Count Fold Chang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4" i="2" l="1"/>
  <c r="AE54" i="2"/>
  <c r="AD54" i="2"/>
  <c r="AC54" i="2"/>
  <c r="AB54" i="2"/>
  <c r="AN54" i="2" s="1"/>
  <c r="AA54" i="2"/>
  <c r="AM54" i="2" s="1"/>
  <c r="Z54" i="2"/>
  <c r="AL54" i="2" s="1"/>
  <c r="Y54" i="2"/>
  <c r="AK54" i="2" s="1"/>
  <c r="X54" i="2"/>
  <c r="W54" i="2"/>
  <c r="AI54" i="2" s="1"/>
  <c r="V54" i="2"/>
  <c r="AH54" i="2" s="1"/>
  <c r="U54" i="2"/>
  <c r="T54" i="2"/>
  <c r="S54" i="2"/>
  <c r="R54" i="2"/>
  <c r="AJ54" i="2" s="1"/>
  <c r="Q54" i="2"/>
  <c r="AI53" i="2"/>
  <c r="AH53" i="2"/>
  <c r="AB53" i="2"/>
  <c r="AA53" i="2"/>
  <c r="Z53" i="2"/>
  <c r="Y53" i="2"/>
  <c r="X53" i="2"/>
  <c r="W53" i="2"/>
  <c r="V53" i="2"/>
  <c r="U53" i="2"/>
  <c r="T53" i="2"/>
  <c r="AF53" i="2" s="1"/>
  <c r="S53" i="2"/>
  <c r="AE53" i="2" s="1"/>
  <c r="R53" i="2"/>
  <c r="AD53" i="2" s="1"/>
  <c r="Q53" i="2"/>
  <c r="AC53" i="2" s="1"/>
  <c r="AG52" i="2"/>
  <c r="AF52" i="2"/>
  <c r="AE52" i="2"/>
  <c r="AD52" i="2"/>
  <c r="AC52" i="2"/>
  <c r="AB52" i="2"/>
  <c r="AN52" i="2" s="1"/>
  <c r="AA52" i="2"/>
  <c r="AM52" i="2" s="1"/>
  <c r="Z52" i="2"/>
  <c r="AL52" i="2" s="1"/>
  <c r="Y52" i="2"/>
  <c r="AK52" i="2" s="1"/>
  <c r="X52" i="2"/>
  <c r="AJ52" i="2" s="1"/>
  <c r="W52" i="2"/>
  <c r="AI52" i="2" s="1"/>
  <c r="V52" i="2"/>
  <c r="AH52" i="2" s="1"/>
  <c r="U52" i="2"/>
  <c r="T52" i="2"/>
  <c r="S52" i="2"/>
  <c r="R52" i="2"/>
  <c r="Q52" i="2"/>
  <c r="AI51" i="2"/>
  <c r="AH51" i="2"/>
  <c r="AB51" i="2"/>
  <c r="AA51" i="2"/>
  <c r="Z51" i="2"/>
  <c r="Y51" i="2"/>
  <c r="X51" i="2"/>
  <c r="W51" i="2"/>
  <c r="V51" i="2"/>
  <c r="U51" i="2"/>
  <c r="T51" i="2"/>
  <c r="AF51" i="2" s="1"/>
  <c r="S51" i="2"/>
  <c r="AE51" i="2" s="1"/>
  <c r="R51" i="2"/>
  <c r="AD51" i="2" s="1"/>
  <c r="Q51" i="2"/>
  <c r="AC51" i="2" s="1"/>
  <c r="AG50" i="2"/>
  <c r="AF50" i="2"/>
  <c r="AE50" i="2"/>
  <c r="AD50" i="2"/>
  <c r="AC50" i="2"/>
  <c r="AB50" i="2"/>
  <c r="AN50" i="2" s="1"/>
  <c r="AA50" i="2"/>
  <c r="AM50" i="2" s="1"/>
  <c r="Z50" i="2"/>
  <c r="AL50" i="2" s="1"/>
  <c r="Y50" i="2"/>
  <c r="AK50" i="2" s="1"/>
  <c r="X50" i="2"/>
  <c r="AJ50" i="2" s="1"/>
  <c r="W50" i="2"/>
  <c r="AI50" i="2" s="1"/>
  <c r="V50" i="2"/>
  <c r="AH50" i="2" s="1"/>
  <c r="U50" i="2"/>
  <c r="T50" i="2"/>
  <c r="S50" i="2"/>
  <c r="R50" i="2"/>
  <c r="Q50" i="2"/>
  <c r="AI49" i="2"/>
  <c r="AB49" i="2"/>
  <c r="AA49" i="2"/>
  <c r="Z49" i="2"/>
  <c r="Y49" i="2"/>
  <c r="X49" i="2"/>
  <c r="W49" i="2"/>
  <c r="V49" i="2"/>
  <c r="U49" i="2"/>
  <c r="T49" i="2"/>
  <c r="AF49" i="2" s="1"/>
  <c r="S49" i="2"/>
  <c r="AE49" i="2" s="1"/>
  <c r="R49" i="2"/>
  <c r="AD49" i="2" s="1"/>
  <c r="Q49" i="2"/>
  <c r="AC49" i="2" s="1"/>
  <c r="AG48" i="2"/>
  <c r="AF48" i="2"/>
  <c r="AE48" i="2"/>
  <c r="AD48" i="2"/>
  <c r="AC48" i="2"/>
  <c r="AB48" i="2"/>
  <c r="AN48" i="2" s="1"/>
  <c r="AA48" i="2"/>
  <c r="AM48" i="2" s="1"/>
  <c r="Z48" i="2"/>
  <c r="AL48" i="2" s="1"/>
  <c r="Y48" i="2"/>
  <c r="AK48" i="2" s="1"/>
  <c r="X48" i="2"/>
  <c r="AJ48" i="2" s="1"/>
  <c r="W48" i="2"/>
  <c r="AI48" i="2" s="1"/>
  <c r="V48" i="2"/>
  <c r="AH48" i="2" s="1"/>
  <c r="U48" i="2"/>
  <c r="T48" i="2"/>
  <c r="S48" i="2"/>
  <c r="R48" i="2"/>
  <c r="Q48" i="2"/>
  <c r="AI47" i="2"/>
  <c r="AH47" i="2"/>
  <c r="AB47" i="2"/>
  <c r="AA47" i="2"/>
  <c r="Z47" i="2"/>
  <c r="Y47" i="2"/>
  <c r="X47" i="2"/>
  <c r="W47" i="2"/>
  <c r="V47" i="2"/>
  <c r="U47" i="2"/>
  <c r="T47" i="2"/>
  <c r="AF47" i="2" s="1"/>
  <c r="S47" i="2"/>
  <c r="AE47" i="2" s="1"/>
  <c r="R47" i="2"/>
  <c r="AD47" i="2" s="1"/>
  <c r="Q47" i="2"/>
  <c r="AC47" i="2" s="1"/>
  <c r="AG46" i="2"/>
  <c r="AF46" i="2"/>
  <c r="AE46" i="2"/>
  <c r="AD46" i="2"/>
  <c r="AC46" i="2"/>
  <c r="AB46" i="2"/>
  <c r="AN46" i="2" s="1"/>
  <c r="AA46" i="2"/>
  <c r="AM46" i="2" s="1"/>
  <c r="Z46" i="2"/>
  <c r="AL46" i="2" s="1"/>
  <c r="Y46" i="2"/>
  <c r="AK46" i="2" s="1"/>
  <c r="X46" i="2"/>
  <c r="AJ46" i="2" s="1"/>
  <c r="W46" i="2"/>
  <c r="AI46" i="2" s="1"/>
  <c r="V46" i="2"/>
  <c r="AH46" i="2" s="1"/>
  <c r="U46" i="2"/>
  <c r="T46" i="2"/>
  <c r="S46" i="2"/>
  <c r="R46" i="2"/>
  <c r="Q46" i="2"/>
  <c r="AI45" i="2"/>
  <c r="AH45" i="2"/>
  <c r="AB45" i="2"/>
  <c r="AA45" i="2"/>
  <c r="Z45" i="2"/>
  <c r="Y45" i="2"/>
  <c r="X45" i="2"/>
  <c r="W45" i="2"/>
  <c r="V45" i="2"/>
  <c r="U45" i="2"/>
  <c r="T45" i="2"/>
  <c r="AF45" i="2" s="1"/>
  <c r="S45" i="2"/>
  <c r="AE45" i="2" s="1"/>
  <c r="R45" i="2"/>
  <c r="AD45" i="2" s="1"/>
  <c r="Q45" i="2"/>
  <c r="AC45" i="2" s="1"/>
  <c r="AG44" i="2"/>
  <c r="AF44" i="2"/>
  <c r="AE44" i="2"/>
  <c r="AD44" i="2"/>
  <c r="AC44" i="2"/>
  <c r="AB44" i="2"/>
  <c r="AN44" i="2" s="1"/>
  <c r="AA44" i="2"/>
  <c r="AM44" i="2" s="1"/>
  <c r="Z44" i="2"/>
  <c r="AL44" i="2" s="1"/>
  <c r="Y44" i="2"/>
  <c r="AK44" i="2" s="1"/>
  <c r="X44" i="2"/>
  <c r="AJ44" i="2" s="1"/>
  <c r="W44" i="2"/>
  <c r="AI44" i="2" s="1"/>
  <c r="V44" i="2"/>
  <c r="AH44" i="2" s="1"/>
  <c r="U44" i="2"/>
  <c r="T44" i="2"/>
  <c r="S44" i="2"/>
  <c r="R44" i="2"/>
  <c r="Q44" i="2"/>
  <c r="AI43" i="2"/>
  <c r="AH43" i="2"/>
  <c r="AB43" i="2"/>
  <c r="AA43" i="2"/>
  <c r="Z43" i="2"/>
  <c r="Y43" i="2"/>
  <c r="X43" i="2"/>
  <c r="W43" i="2"/>
  <c r="V43" i="2"/>
  <c r="U43" i="2"/>
  <c r="T43" i="2"/>
  <c r="AF43" i="2" s="1"/>
  <c r="S43" i="2"/>
  <c r="AE43" i="2" s="1"/>
  <c r="R43" i="2"/>
  <c r="AD43" i="2" s="1"/>
  <c r="Q43" i="2"/>
  <c r="AC43" i="2" s="1"/>
  <c r="AG42" i="2"/>
  <c r="AE42" i="2"/>
  <c r="AD42" i="2"/>
  <c r="AC42" i="2"/>
  <c r="AB42" i="2"/>
  <c r="AN42" i="2" s="1"/>
  <c r="AA42" i="2"/>
  <c r="AM42" i="2" s="1"/>
  <c r="Z42" i="2"/>
  <c r="AL42" i="2" s="1"/>
  <c r="Y42" i="2"/>
  <c r="AK42" i="2" s="1"/>
  <c r="X42" i="2"/>
  <c r="AJ42" i="2" s="1"/>
  <c r="W42" i="2"/>
  <c r="AI42" i="2" s="1"/>
  <c r="V42" i="2"/>
  <c r="AH42" i="2" s="1"/>
  <c r="U42" i="2"/>
  <c r="T42" i="2"/>
  <c r="S42" i="2"/>
  <c r="R42" i="2"/>
  <c r="Q42" i="2"/>
  <c r="AF42" i="2" s="1"/>
  <c r="AI41" i="2"/>
  <c r="AH41" i="2"/>
  <c r="AB41" i="2"/>
  <c r="AA41" i="2"/>
  <c r="Z41" i="2"/>
  <c r="Y41" i="2"/>
  <c r="X41" i="2"/>
  <c r="W41" i="2"/>
  <c r="V41" i="2"/>
  <c r="U41" i="2"/>
  <c r="T41" i="2"/>
  <c r="AF41" i="2" s="1"/>
  <c r="S41" i="2"/>
  <c r="AE41" i="2" s="1"/>
  <c r="R41" i="2"/>
  <c r="AD41" i="2" s="1"/>
  <c r="Q41" i="2"/>
  <c r="AC41" i="2" s="1"/>
  <c r="AG40" i="2"/>
  <c r="AE40" i="2"/>
  <c r="AD40" i="2"/>
  <c r="AC40" i="2"/>
  <c r="AB40" i="2"/>
  <c r="AN40" i="2" s="1"/>
  <c r="AA40" i="2"/>
  <c r="AM40" i="2" s="1"/>
  <c r="Z40" i="2"/>
  <c r="AL40" i="2" s="1"/>
  <c r="Y40" i="2"/>
  <c r="AK40" i="2" s="1"/>
  <c r="X40" i="2"/>
  <c r="AJ40" i="2" s="1"/>
  <c r="W40" i="2"/>
  <c r="AI40" i="2" s="1"/>
  <c r="V40" i="2"/>
  <c r="AH40" i="2" s="1"/>
  <c r="U40" i="2"/>
  <c r="T40" i="2"/>
  <c r="S40" i="2"/>
  <c r="R40" i="2"/>
  <c r="Q40" i="2"/>
  <c r="AF40" i="2" s="1"/>
  <c r="AI39" i="2"/>
  <c r="AH39" i="2"/>
  <c r="AB39" i="2"/>
  <c r="AA39" i="2"/>
  <c r="Z39" i="2"/>
  <c r="Y39" i="2"/>
  <c r="X39" i="2"/>
  <c r="W39" i="2"/>
  <c r="V39" i="2"/>
  <c r="U39" i="2"/>
  <c r="T39" i="2"/>
  <c r="AF39" i="2" s="1"/>
  <c r="S39" i="2"/>
  <c r="AE39" i="2" s="1"/>
  <c r="R39" i="2"/>
  <c r="AD39" i="2" s="1"/>
  <c r="Q39" i="2"/>
  <c r="AC39" i="2" s="1"/>
  <c r="AG38" i="2"/>
  <c r="AE38" i="2"/>
  <c r="AD38" i="2"/>
  <c r="AC38" i="2"/>
  <c r="AB38" i="2"/>
  <c r="AN38" i="2" s="1"/>
  <c r="AA38" i="2"/>
  <c r="AM38" i="2" s="1"/>
  <c r="Z38" i="2"/>
  <c r="AL38" i="2" s="1"/>
  <c r="Y38" i="2"/>
  <c r="AK38" i="2" s="1"/>
  <c r="X38" i="2"/>
  <c r="AJ38" i="2" s="1"/>
  <c r="W38" i="2"/>
  <c r="AI38" i="2" s="1"/>
  <c r="V38" i="2"/>
  <c r="AH38" i="2" s="1"/>
  <c r="U38" i="2"/>
  <c r="T38" i="2"/>
  <c r="S38" i="2"/>
  <c r="R38" i="2"/>
  <c r="Q38" i="2"/>
  <c r="AF38" i="2" s="1"/>
  <c r="AI37" i="2"/>
  <c r="AH37" i="2"/>
  <c r="AB37" i="2"/>
  <c r="AA37" i="2"/>
  <c r="Z37" i="2"/>
  <c r="Y37" i="2"/>
  <c r="X37" i="2"/>
  <c r="W37" i="2"/>
  <c r="V37" i="2"/>
  <c r="U37" i="2"/>
  <c r="T37" i="2"/>
  <c r="AF37" i="2" s="1"/>
  <c r="S37" i="2"/>
  <c r="AE37" i="2" s="1"/>
  <c r="R37" i="2"/>
  <c r="AD37" i="2" s="1"/>
  <c r="Q37" i="2"/>
  <c r="AC37" i="2" s="1"/>
  <c r="AG36" i="2"/>
  <c r="AE36" i="2"/>
  <c r="AD36" i="2"/>
  <c r="AC36" i="2"/>
  <c r="AB36" i="2"/>
  <c r="AN36" i="2" s="1"/>
  <c r="AA36" i="2"/>
  <c r="AM36" i="2" s="1"/>
  <c r="Z36" i="2"/>
  <c r="AL36" i="2" s="1"/>
  <c r="Y36" i="2"/>
  <c r="AK36" i="2" s="1"/>
  <c r="X36" i="2"/>
  <c r="AJ36" i="2" s="1"/>
  <c r="W36" i="2"/>
  <c r="AI36" i="2" s="1"/>
  <c r="V36" i="2"/>
  <c r="AH36" i="2" s="1"/>
  <c r="U36" i="2"/>
  <c r="T36" i="2"/>
  <c r="S36" i="2"/>
  <c r="R36" i="2"/>
  <c r="Q36" i="2"/>
  <c r="AF36" i="2" s="1"/>
  <c r="AI35" i="2"/>
  <c r="AH35" i="2"/>
  <c r="AB35" i="2"/>
  <c r="AA35" i="2"/>
  <c r="Z35" i="2"/>
  <c r="Y35" i="2"/>
  <c r="X35" i="2"/>
  <c r="W35" i="2"/>
  <c r="V35" i="2"/>
  <c r="U35" i="2"/>
  <c r="T35" i="2"/>
  <c r="AF35" i="2" s="1"/>
  <c r="S35" i="2"/>
  <c r="AE35" i="2" s="1"/>
  <c r="R35" i="2"/>
  <c r="AD35" i="2" s="1"/>
  <c r="Q35" i="2"/>
  <c r="AC35" i="2" s="1"/>
  <c r="AG34" i="2"/>
  <c r="AE34" i="2"/>
  <c r="AD34" i="2"/>
  <c r="AC34" i="2"/>
  <c r="AB34" i="2"/>
  <c r="AN34" i="2" s="1"/>
  <c r="AA34" i="2"/>
  <c r="AM34" i="2" s="1"/>
  <c r="Z34" i="2"/>
  <c r="AL34" i="2" s="1"/>
  <c r="Y34" i="2"/>
  <c r="AK34" i="2" s="1"/>
  <c r="X34" i="2"/>
  <c r="AJ34" i="2" s="1"/>
  <c r="W34" i="2"/>
  <c r="AI34" i="2" s="1"/>
  <c r="V34" i="2"/>
  <c r="AH34" i="2" s="1"/>
  <c r="U34" i="2"/>
  <c r="T34" i="2"/>
  <c r="S34" i="2"/>
  <c r="R34" i="2"/>
  <c r="Q34" i="2"/>
  <c r="AF34" i="2" s="1"/>
  <c r="AI33" i="2"/>
  <c r="AH33" i="2"/>
  <c r="AB33" i="2"/>
  <c r="AA33" i="2"/>
  <c r="Z33" i="2"/>
  <c r="Y33" i="2"/>
  <c r="X33" i="2"/>
  <c r="W33" i="2"/>
  <c r="V33" i="2"/>
  <c r="U33" i="2"/>
  <c r="T33" i="2"/>
  <c r="AF33" i="2" s="1"/>
  <c r="S33" i="2"/>
  <c r="AE33" i="2" s="1"/>
  <c r="R33" i="2"/>
  <c r="AD33" i="2" s="1"/>
  <c r="Q33" i="2"/>
  <c r="AC33" i="2" s="1"/>
  <c r="AG32" i="2"/>
  <c r="AE32" i="2"/>
  <c r="AD32" i="2"/>
  <c r="AC32" i="2"/>
  <c r="AB32" i="2"/>
  <c r="AN32" i="2" s="1"/>
  <c r="AA32" i="2"/>
  <c r="AM32" i="2" s="1"/>
  <c r="Z32" i="2"/>
  <c r="AL32" i="2" s="1"/>
  <c r="Y32" i="2"/>
  <c r="AK32" i="2" s="1"/>
  <c r="X32" i="2"/>
  <c r="AJ32" i="2" s="1"/>
  <c r="W32" i="2"/>
  <c r="AI32" i="2" s="1"/>
  <c r="V32" i="2"/>
  <c r="AH32" i="2" s="1"/>
  <c r="U32" i="2"/>
  <c r="T32" i="2"/>
  <c r="S32" i="2"/>
  <c r="R32" i="2"/>
  <c r="Q32" i="2"/>
  <c r="AF32" i="2" s="1"/>
  <c r="AI31" i="2"/>
  <c r="AH31" i="2"/>
  <c r="AB31" i="2"/>
  <c r="AA31" i="2"/>
  <c r="Z31" i="2"/>
  <c r="Y31" i="2"/>
  <c r="X31" i="2"/>
  <c r="W31" i="2"/>
  <c r="V31" i="2"/>
  <c r="U31" i="2"/>
  <c r="T31" i="2"/>
  <c r="AF31" i="2" s="1"/>
  <c r="S31" i="2"/>
  <c r="AE31" i="2" s="1"/>
  <c r="R31" i="2"/>
  <c r="AD31" i="2" s="1"/>
  <c r="Q31" i="2"/>
  <c r="AC31" i="2" s="1"/>
  <c r="AG30" i="2"/>
  <c r="AE30" i="2"/>
  <c r="AD30" i="2"/>
  <c r="AC30" i="2"/>
  <c r="AB30" i="2"/>
  <c r="AN30" i="2" s="1"/>
  <c r="AA30" i="2"/>
  <c r="AM30" i="2" s="1"/>
  <c r="Z30" i="2"/>
  <c r="AL30" i="2" s="1"/>
  <c r="Y30" i="2"/>
  <c r="AK30" i="2" s="1"/>
  <c r="X30" i="2"/>
  <c r="AJ30" i="2" s="1"/>
  <c r="W30" i="2"/>
  <c r="AI30" i="2" s="1"/>
  <c r="V30" i="2"/>
  <c r="AH30" i="2" s="1"/>
  <c r="U30" i="2"/>
  <c r="T30" i="2"/>
  <c r="S30" i="2"/>
  <c r="R30" i="2"/>
  <c r="Q30" i="2"/>
  <c r="AF30" i="2" s="1"/>
  <c r="AI29" i="2"/>
  <c r="AH29" i="2"/>
  <c r="AB29" i="2"/>
  <c r="AA29" i="2"/>
  <c r="Z29" i="2"/>
  <c r="Y29" i="2"/>
  <c r="X29" i="2"/>
  <c r="W29" i="2"/>
  <c r="V29" i="2"/>
  <c r="U29" i="2"/>
  <c r="T29" i="2"/>
  <c r="AF29" i="2" s="1"/>
  <c r="S29" i="2"/>
  <c r="AE29" i="2" s="1"/>
  <c r="R29" i="2"/>
  <c r="AD29" i="2" s="1"/>
  <c r="Q29" i="2"/>
  <c r="AC29" i="2" s="1"/>
  <c r="AG28" i="2"/>
  <c r="AE28" i="2"/>
  <c r="AD28" i="2"/>
  <c r="AC28" i="2"/>
  <c r="AB28" i="2"/>
  <c r="AN28" i="2" s="1"/>
  <c r="AA28" i="2"/>
  <c r="AM28" i="2" s="1"/>
  <c r="Z28" i="2"/>
  <c r="AL28" i="2" s="1"/>
  <c r="Y28" i="2"/>
  <c r="AK28" i="2" s="1"/>
  <c r="X28" i="2"/>
  <c r="AJ28" i="2" s="1"/>
  <c r="W28" i="2"/>
  <c r="AI28" i="2" s="1"/>
  <c r="V28" i="2"/>
  <c r="AH28" i="2" s="1"/>
  <c r="U28" i="2"/>
  <c r="T28" i="2"/>
  <c r="S28" i="2"/>
  <c r="R28" i="2"/>
  <c r="Q28" i="2"/>
  <c r="AF28" i="2" s="1"/>
  <c r="AI27" i="2"/>
  <c r="AH27" i="2"/>
  <c r="AB27" i="2"/>
  <c r="AA27" i="2"/>
  <c r="Z27" i="2"/>
  <c r="Y27" i="2"/>
  <c r="X27" i="2"/>
  <c r="W27" i="2"/>
  <c r="V27" i="2"/>
  <c r="U27" i="2"/>
  <c r="T27" i="2"/>
  <c r="AF27" i="2" s="1"/>
  <c r="S27" i="2"/>
  <c r="AE27" i="2" s="1"/>
  <c r="R27" i="2"/>
  <c r="AD27" i="2" s="1"/>
  <c r="Q27" i="2"/>
  <c r="AC27" i="2" s="1"/>
  <c r="AG26" i="2"/>
  <c r="AE26" i="2"/>
  <c r="AD26" i="2"/>
  <c r="AC26" i="2"/>
  <c r="AB26" i="2"/>
  <c r="AN26" i="2" s="1"/>
  <c r="AA26" i="2"/>
  <c r="AM26" i="2" s="1"/>
  <c r="Z26" i="2"/>
  <c r="AL26" i="2" s="1"/>
  <c r="Y26" i="2"/>
  <c r="AK26" i="2" s="1"/>
  <c r="X26" i="2"/>
  <c r="AJ26" i="2" s="1"/>
  <c r="W26" i="2"/>
  <c r="AI26" i="2" s="1"/>
  <c r="V26" i="2"/>
  <c r="AH26" i="2" s="1"/>
  <c r="U26" i="2"/>
  <c r="T26" i="2"/>
  <c r="S26" i="2"/>
  <c r="R26" i="2"/>
  <c r="Q26" i="2"/>
  <c r="AF26" i="2" s="1"/>
  <c r="AI25" i="2"/>
  <c r="AH25" i="2"/>
  <c r="AB25" i="2"/>
  <c r="AA25" i="2"/>
  <c r="Z25" i="2"/>
  <c r="Y25" i="2"/>
  <c r="X25" i="2"/>
  <c r="W25" i="2"/>
  <c r="V25" i="2"/>
  <c r="U25" i="2"/>
  <c r="T25" i="2"/>
  <c r="AF25" i="2" s="1"/>
  <c r="S25" i="2"/>
  <c r="AE25" i="2" s="1"/>
  <c r="R25" i="2"/>
  <c r="AD25" i="2" s="1"/>
  <c r="Q25" i="2"/>
  <c r="AC25" i="2" s="1"/>
  <c r="AG24" i="2"/>
  <c r="AE24" i="2"/>
  <c r="AD24" i="2"/>
  <c r="AC24" i="2"/>
  <c r="AB24" i="2"/>
  <c r="AN24" i="2" s="1"/>
  <c r="AA24" i="2"/>
  <c r="AM24" i="2" s="1"/>
  <c r="Z24" i="2"/>
  <c r="AL24" i="2" s="1"/>
  <c r="Y24" i="2"/>
  <c r="AK24" i="2" s="1"/>
  <c r="X24" i="2"/>
  <c r="AJ24" i="2" s="1"/>
  <c r="W24" i="2"/>
  <c r="AI24" i="2" s="1"/>
  <c r="V24" i="2"/>
  <c r="AH24" i="2" s="1"/>
  <c r="U24" i="2"/>
  <c r="T24" i="2"/>
  <c r="S24" i="2"/>
  <c r="R24" i="2"/>
  <c r="Q24" i="2"/>
  <c r="AF24" i="2" s="1"/>
  <c r="AI23" i="2"/>
  <c r="AH23" i="2"/>
  <c r="AB23" i="2"/>
  <c r="AA23" i="2"/>
  <c r="Z23" i="2"/>
  <c r="Y23" i="2"/>
  <c r="X23" i="2"/>
  <c r="W23" i="2"/>
  <c r="V23" i="2"/>
  <c r="U23" i="2"/>
  <c r="T23" i="2"/>
  <c r="AF23" i="2" s="1"/>
  <c r="S23" i="2"/>
  <c r="AE23" i="2" s="1"/>
  <c r="R23" i="2"/>
  <c r="AD23" i="2" s="1"/>
  <c r="Q23" i="2"/>
  <c r="AC23" i="2" s="1"/>
  <c r="AG22" i="2"/>
  <c r="AE22" i="2"/>
  <c r="AD22" i="2"/>
  <c r="AC22" i="2"/>
  <c r="AB22" i="2"/>
  <c r="AN22" i="2" s="1"/>
  <c r="AA22" i="2"/>
  <c r="AM22" i="2" s="1"/>
  <c r="Z22" i="2"/>
  <c r="AL22" i="2" s="1"/>
  <c r="Y22" i="2"/>
  <c r="AK22" i="2" s="1"/>
  <c r="X22" i="2"/>
  <c r="AJ22" i="2" s="1"/>
  <c r="W22" i="2"/>
  <c r="AI22" i="2" s="1"/>
  <c r="V22" i="2"/>
  <c r="AH22" i="2" s="1"/>
  <c r="U22" i="2"/>
  <c r="T22" i="2"/>
  <c r="S22" i="2"/>
  <c r="R22" i="2"/>
  <c r="Q22" i="2"/>
  <c r="AF22" i="2" s="1"/>
  <c r="AI21" i="2"/>
  <c r="AH21" i="2"/>
  <c r="AB21" i="2"/>
  <c r="AA21" i="2"/>
  <c r="Z21" i="2"/>
  <c r="Y21" i="2"/>
  <c r="X21" i="2"/>
  <c r="W21" i="2"/>
  <c r="V21" i="2"/>
  <c r="U21" i="2"/>
  <c r="T21" i="2"/>
  <c r="AF21" i="2" s="1"/>
  <c r="S21" i="2"/>
  <c r="AE21" i="2" s="1"/>
  <c r="R21" i="2"/>
  <c r="AD21" i="2" s="1"/>
  <c r="Q21" i="2"/>
  <c r="AC21" i="2" s="1"/>
  <c r="AG20" i="2"/>
  <c r="AE20" i="2"/>
  <c r="AD20" i="2"/>
  <c r="AC20" i="2"/>
  <c r="AB20" i="2"/>
  <c r="AN20" i="2" s="1"/>
  <c r="AA20" i="2"/>
  <c r="AM20" i="2" s="1"/>
  <c r="Z20" i="2"/>
  <c r="AL20" i="2" s="1"/>
  <c r="Y20" i="2"/>
  <c r="AK20" i="2" s="1"/>
  <c r="X20" i="2"/>
  <c r="AJ20" i="2" s="1"/>
  <c r="W20" i="2"/>
  <c r="AI20" i="2" s="1"/>
  <c r="V20" i="2"/>
  <c r="AH20" i="2" s="1"/>
  <c r="U20" i="2"/>
  <c r="T20" i="2"/>
  <c r="S20" i="2"/>
  <c r="R20" i="2"/>
  <c r="Q20" i="2"/>
  <c r="AF20" i="2" s="1"/>
  <c r="AI19" i="2"/>
  <c r="AH19" i="2"/>
  <c r="AB19" i="2"/>
  <c r="AA19" i="2"/>
  <c r="Z19" i="2"/>
  <c r="Y19" i="2"/>
  <c r="X19" i="2"/>
  <c r="W19" i="2"/>
  <c r="V19" i="2"/>
  <c r="U19" i="2"/>
  <c r="T19" i="2"/>
  <c r="AF19" i="2" s="1"/>
  <c r="S19" i="2"/>
  <c r="AE19" i="2" s="1"/>
  <c r="R19" i="2"/>
  <c r="AD19" i="2" s="1"/>
  <c r="Q19" i="2"/>
  <c r="AC19" i="2" s="1"/>
  <c r="AG18" i="2"/>
  <c r="AE18" i="2"/>
  <c r="AD18" i="2"/>
  <c r="AC18" i="2"/>
  <c r="AB18" i="2"/>
  <c r="AN18" i="2" s="1"/>
  <c r="AA18" i="2"/>
  <c r="AM18" i="2" s="1"/>
  <c r="Z18" i="2"/>
  <c r="AL18" i="2" s="1"/>
  <c r="Y18" i="2"/>
  <c r="AK18" i="2" s="1"/>
  <c r="X18" i="2"/>
  <c r="AJ18" i="2" s="1"/>
  <c r="W18" i="2"/>
  <c r="AI18" i="2" s="1"/>
  <c r="V18" i="2"/>
  <c r="AH18" i="2" s="1"/>
  <c r="U18" i="2"/>
  <c r="T18" i="2"/>
  <c r="S18" i="2"/>
  <c r="R18" i="2"/>
  <c r="Q18" i="2"/>
  <c r="AF18" i="2" s="1"/>
  <c r="AI17" i="2"/>
  <c r="AH17" i="2"/>
  <c r="AB17" i="2"/>
  <c r="AA17" i="2"/>
  <c r="Z17" i="2"/>
  <c r="Y17" i="2"/>
  <c r="X17" i="2"/>
  <c r="W17" i="2"/>
  <c r="V17" i="2"/>
  <c r="U17" i="2"/>
  <c r="T17" i="2"/>
  <c r="AF17" i="2" s="1"/>
  <c r="S17" i="2"/>
  <c r="AE17" i="2" s="1"/>
  <c r="R17" i="2"/>
  <c r="AD17" i="2" s="1"/>
  <c r="Q17" i="2"/>
  <c r="AC17" i="2" s="1"/>
  <c r="AG16" i="2"/>
  <c r="AE16" i="2"/>
  <c r="AD16" i="2"/>
  <c r="AC16" i="2"/>
  <c r="AB16" i="2"/>
  <c r="AN16" i="2" s="1"/>
  <c r="AA16" i="2"/>
  <c r="AM16" i="2" s="1"/>
  <c r="Z16" i="2"/>
  <c r="AL16" i="2" s="1"/>
  <c r="Y16" i="2"/>
  <c r="AK16" i="2" s="1"/>
  <c r="X16" i="2"/>
  <c r="AJ16" i="2" s="1"/>
  <c r="W16" i="2"/>
  <c r="AI16" i="2" s="1"/>
  <c r="V16" i="2"/>
  <c r="AH16" i="2" s="1"/>
  <c r="U16" i="2"/>
  <c r="T16" i="2"/>
  <c r="S16" i="2"/>
  <c r="R16" i="2"/>
  <c r="Q16" i="2"/>
  <c r="AF16" i="2" s="1"/>
  <c r="AI15" i="2"/>
  <c r="AH15" i="2"/>
  <c r="AB15" i="2"/>
  <c r="AA15" i="2"/>
  <c r="Z15" i="2"/>
  <c r="Y15" i="2"/>
  <c r="X15" i="2"/>
  <c r="W15" i="2"/>
  <c r="V15" i="2"/>
  <c r="U15" i="2"/>
  <c r="T15" i="2"/>
  <c r="AF15" i="2" s="1"/>
  <c r="S15" i="2"/>
  <c r="AE15" i="2" s="1"/>
  <c r="R15" i="2"/>
  <c r="AD15" i="2" s="1"/>
  <c r="Q15" i="2"/>
  <c r="AC15" i="2" s="1"/>
  <c r="AG14" i="2"/>
  <c r="AE14" i="2"/>
  <c r="AD14" i="2"/>
  <c r="AC14" i="2"/>
  <c r="AB14" i="2"/>
  <c r="AN14" i="2" s="1"/>
  <c r="AA14" i="2"/>
  <c r="AM14" i="2" s="1"/>
  <c r="Z14" i="2"/>
  <c r="AL14" i="2" s="1"/>
  <c r="Y14" i="2"/>
  <c r="AK14" i="2" s="1"/>
  <c r="X14" i="2"/>
  <c r="AJ14" i="2" s="1"/>
  <c r="W14" i="2"/>
  <c r="AI14" i="2" s="1"/>
  <c r="V14" i="2"/>
  <c r="AH14" i="2" s="1"/>
  <c r="U14" i="2"/>
  <c r="T14" i="2"/>
  <c r="S14" i="2"/>
  <c r="R14" i="2"/>
  <c r="Q14" i="2"/>
  <c r="AF14" i="2" s="1"/>
  <c r="AI13" i="2"/>
  <c r="AH13" i="2"/>
  <c r="AB13" i="2"/>
  <c r="AA13" i="2"/>
  <c r="Z13" i="2"/>
  <c r="Y13" i="2"/>
  <c r="X13" i="2"/>
  <c r="W13" i="2"/>
  <c r="V13" i="2"/>
  <c r="U13" i="2"/>
  <c r="T13" i="2"/>
  <c r="AF13" i="2" s="1"/>
  <c r="S13" i="2"/>
  <c r="AE13" i="2" s="1"/>
  <c r="R13" i="2"/>
  <c r="AD13" i="2" s="1"/>
  <c r="Q13" i="2"/>
  <c r="AC13" i="2" s="1"/>
  <c r="AG12" i="2"/>
  <c r="AE12" i="2"/>
  <c r="AD12" i="2"/>
  <c r="AC12" i="2"/>
  <c r="AB12" i="2"/>
  <c r="AN12" i="2" s="1"/>
  <c r="AA12" i="2"/>
  <c r="AM12" i="2" s="1"/>
  <c r="Z12" i="2"/>
  <c r="AL12" i="2" s="1"/>
  <c r="Y12" i="2"/>
  <c r="AK12" i="2" s="1"/>
  <c r="X12" i="2"/>
  <c r="AJ12" i="2" s="1"/>
  <c r="W12" i="2"/>
  <c r="AI12" i="2" s="1"/>
  <c r="V12" i="2"/>
  <c r="AH12" i="2" s="1"/>
  <c r="U12" i="2"/>
  <c r="T12" i="2"/>
  <c r="S12" i="2"/>
  <c r="R12" i="2"/>
  <c r="Q12" i="2"/>
  <c r="AF12" i="2" s="1"/>
  <c r="AI11" i="2"/>
  <c r="AH11" i="2"/>
  <c r="AB11" i="2"/>
  <c r="AA11" i="2"/>
  <c r="Z11" i="2"/>
  <c r="Y11" i="2"/>
  <c r="X11" i="2"/>
  <c r="W11" i="2"/>
  <c r="V11" i="2"/>
  <c r="U11" i="2"/>
  <c r="T11" i="2"/>
  <c r="AF11" i="2" s="1"/>
  <c r="S11" i="2"/>
  <c r="AE11" i="2" s="1"/>
  <c r="R11" i="2"/>
  <c r="AD11" i="2" s="1"/>
  <c r="Q11" i="2"/>
  <c r="AC11" i="2" s="1"/>
  <c r="AG10" i="2"/>
  <c r="AE10" i="2"/>
  <c r="AD10" i="2"/>
  <c r="AC10" i="2"/>
  <c r="AB10" i="2"/>
  <c r="AN10" i="2" s="1"/>
  <c r="AA10" i="2"/>
  <c r="AM10" i="2" s="1"/>
  <c r="Z10" i="2"/>
  <c r="AL10" i="2" s="1"/>
  <c r="Y10" i="2"/>
  <c r="AK10" i="2" s="1"/>
  <c r="X10" i="2"/>
  <c r="AJ10" i="2" s="1"/>
  <c r="W10" i="2"/>
  <c r="AI10" i="2" s="1"/>
  <c r="V10" i="2"/>
  <c r="AH10" i="2" s="1"/>
  <c r="U10" i="2"/>
  <c r="T10" i="2"/>
  <c r="S10" i="2"/>
  <c r="R10" i="2"/>
  <c r="Q10" i="2"/>
  <c r="AF10" i="2" s="1"/>
  <c r="AI9" i="2"/>
  <c r="AH9" i="2"/>
  <c r="AB9" i="2"/>
  <c r="AA9" i="2"/>
  <c r="Z9" i="2"/>
  <c r="Y9" i="2"/>
  <c r="X9" i="2"/>
  <c r="W9" i="2"/>
  <c r="V9" i="2"/>
  <c r="U9" i="2"/>
  <c r="T9" i="2"/>
  <c r="AF9" i="2" s="1"/>
  <c r="S9" i="2"/>
  <c r="AE9" i="2" s="1"/>
  <c r="R9" i="2"/>
  <c r="AD9" i="2" s="1"/>
  <c r="Q9" i="2"/>
  <c r="AC9" i="2" s="1"/>
  <c r="AG8" i="2"/>
  <c r="AE8" i="2"/>
  <c r="AD8" i="2"/>
  <c r="AC8" i="2"/>
  <c r="AB8" i="2"/>
  <c r="AN8" i="2" s="1"/>
  <c r="AA8" i="2"/>
  <c r="AM8" i="2" s="1"/>
  <c r="Z8" i="2"/>
  <c r="AL8" i="2" s="1"/>
  <c r="Y8" i="2"/>
  <c r="AK8" i="2" s="1"/>
  <c r="X8" i="2"/>
  <c r="AJ8" i="2" s="1"/>
  <c r="W8" i="2"/>
  <c r="AI8" i="2" s="1"/>
  <c r="V8" i="2"/>
  <c r="AH8" i="2" s="1"/>
  <c r="U8" i="2"/>
  <c r="T8" i="2"/>
  <c r="S8" i="2"/>
  <c r="R8" i="2"/>
  <c r="Q8" i="2"/>
  <c r="AF8" i="2" s="1"/>
  <c r="AI7" i="2"/>
  <c r="AH7" i="2"/>
  <c r="AB7" i="2"/>
  <c r="AA7" i="2"/>
  <c r="Z7" i="2"/>
  <c r="Y7" i="2"/>
  <c r="X7" i="2"/>
  <c r="W7" i="2"/>
  <c r="V7" i="2"/>
  <c r="U7" i="2"/>
  <c r="T7" i="2"/>
  <c r="AF7" i="2" s="1"/>
  <c r="S7" i="2"/>
  <c r="AE7" i="2" s="1"/>
  <c r="R7" i="2"/>
  <c r="AD7" i="2" s="1"/>
  <c r="Q7" i="2"/>
  <c r="AC7" i="2" s="1"/>
  <c r="AG6" i="2"/>
  <c r="AE6" i="2"/>
  <c r="AD6" i="2"/>
  <c r="AC6" i="2"/>
  <c r="AB6" i="2"/>
  <c r="AN6" i="2" s="1"/>
  <c r="AA6" i="2"/>
  <c r="AM6" i="2" s="1"/>
  <c r="Z6" i="2"/>
  <c r="AL6" i="2" s="1"/>
  <c r="Y6" i="2"/>
  <c r="AK6" i="2" s="1"/>
  <c r="X6" i="2"/>
  <c r="AJ6" i="2" s="1"/>
  <c r="W6" i="2"/>
  <c r="AI6" i="2" s="1"/>
  <c r="V6" i="2"/>
  <c r="AH6" i="2" s="1"/>
  <c r="U6" i="2"/>
  <c r="T6" i="2"/>
  <c r="S6" i="2"/>
  <c r="R6" i="2"/>
  <c r="Q6" i="2"/>
  <c r="AF6" i="2" s="1"/>
  <c r="AI5" i="2"/>
  <c r="AH5" i="2"/>
  <c r="AB5" i="2"/>
  <c r="AA5" i="2"/>
  <c r="Z5" i="2"/>
  <c r="Y5" i="2"/>
  <c r="X5" i="2"/>
  <c r="W5" i="2"/>
  <c r="V5" i="2"/>
  <c r="U5" i="2"/>
  <c r="T5" i="2"/>
  <c r="AF5" i="2" s="1"/>
  <c r="S5" i="2"/>
  <c r="AE5" i="2" s="1"/>
  <c r="R5" i="2"/>
  <c r="AD5" i="2" s="1"/>
  <c r="Q5" i="2"/>
  <c r="AC5" i="2" s="1"/>
  <c r="V56" i="1"/>
  <c r="Z56" i="1" s="1"/>
  <c r="AD56" i="1" s="1"/>
  <c r="T56" i="1"/>
  <c r="X56" i="1" s="1"/>
  <c r="AB56" i="1" s="1"/>
  <c r="AF56" i="1" s="1"/>
  <c r="S56" i="1"/>
  <c r="W56" i="1" s="1"/>
  <c r="AA56" i="1" s="1"/>
  <c r="AE56" i="1" s="1"/>
  <c r="R56" i="1"/>
  <c r="Q56" i="1"/>
  <c r="U56" i="1" s="1"/>
  <c r="Y56" i="1" s="1"/>
  <c r="AC56" i="1" s="1"/>
  <c r="AE55" i="1"/>
  <c r="AC55" i="1"/>
  <c r="AA55" i="1"/>
  <c r="Z55" i="1"/>
  <c r="AD55" i="1" s="1"/>
  <c r="Y55" i="1"/>
  <c r="X55" i="1"/>
  <c r="AB55" i="1" s="1"/>
  <c r="AF55" i="1" s="1"/>
  <c r="W55" i="1"/>
  <c r="V55" i="1"/>
  <c r="U55" i="1"/>
  <c r="T55" i="1"/>
  <c r="S55" i="1"/>
  <c r="R55" i="1"/>
  <c r="Q55" i="1"/>
  <c r="AE54" i="1"/>
  <c r="AC54" i="1"/>
  <c r="AA54" i="1"/>
  <c r="Z54" i="1"/>
  <c r="AD54" i="1" s="1"/>
  <c r="Y54" i="1"/>
  <c r="X54" i="1"/>
  <c r="AB54" i="1" s="1"/>
  <c r="AF54" i="1" s="1"/>
  <c r="W54" i="1"/>
  <c r="V54" i="1"/>
  <c r="U54" i="1"/>
  <c r="T54" i="1"/>
  <c r="S54" i="1"/>
  <c r="R54" i="1"/>
  <c r="Q54" i="1"/>
  <c r="AE53" i="1"/>
  <c r="AC53" i="1"/>
  <c r="AA53" i="1"/>
  <c r="Z53" i="1"/>
  <c r="AD53" i="1" s="1"/>
  <c r="Y53" i="1"/>
  <c r="X53" i="1"/>
  <c r="AB53" i="1" s="1"/>
  <c r="AF53" i="1" s="1"/>
  <c r="W53" i="1"/>
  <c r="V53" i="1"/>
  <c r="U53" i="1"/>
  <c r="T53" i="1"/>
  <c r="S53" i="1"/>
  <c r="R53" i="1"/>
  <c r="Q53" i="1"/>
  <c r="AE52" i="1"/>
  <c r="AC52" i="1"/>
  <c r="AA52" i="1"/>
  <c r="Z52" i="1"/>
  <c r="AD52" i="1" s="1"/>
  <c r="Y52" i="1"/>
  <c r="X52" i="1"/>
  <c r="AB52" i="1" s="1"/>
  <c r="AF52" i="1" s="1"/>
  <c r="W52" i="1"/>
  <c r="V52" i="1"/>
  <c r="U52" i="1"/>
  <c r="T52" i="1"/>
  <c r="S52" i="1"/>
  <c r="R52" i="1"/>
  <c r="Q52" i="1"/>
  <c r="AE51" i="1"/>
  <c r="AC51" i="1"/>
  <c r="AA51" i="1"/>
  <c r="Z51" i="1"/>
  <c r="AD51" i="1" s="1"/>
  <c r="Y51" i="1"/>
  <c r="X51" i="1"/>
  <c r="AB51" i="1" s="1"/>
  <c r="AF51" i="1" s="1"/>
  <c r="W51" i="1"/>
  <c r="V51" i="1"/>
  <c r="U51" i="1"/>
  <c r="T51" i="1"/>
  <c r="S51" i="1"/>
  <c r="R51" i="1"/>
  <c r="Q51" i="1"/>
  <c r="AE50" i="1"/>
  <c r="AC50" i="1"/>
  <c r="AA50" i="1"/>
  <c r="Z50" i="1"/>
  <c r="AD50" i="1" s="1"/>
  <c r="Y50" i="1"/>
  <c r="X50" i="1"/>
  <c r="AB50" i="1" s="1"/>
  <c r="AF50" i="1" s="1"/>
  <c r="W50" i="1"/>
  <c r="V50" i="1"/>
  <c r="U50" i="1"/>
  <c r="T50" i="1"/>
  <c r="S50" i="1"/>
  <c r="R50" i="1"/>
  <c r="Q50" i="1"/>
  <c r="AE49" i="1"/>
  <c r="AC49" i="1"/>
  <c r="AA49" i="1"/>
  <c r="Z49" i="1"/>
  <c r="AD49" i="1" s="1"/>
  <c r="Y49" i="1"/>
  <c r="X49" i="1"/>
  <c r="AB49" i="1" s="1"/>
  <c r="AF49" i="1" s="1"/>
  <c r="W49" i="1"/>
  <c r="V49" i="1"/>
  <c r="U49" i="1"/>
  <c r="T49" i="1"/>
  <c r="S49" i="1"/>
  <c r="R49" i="1"/>
  <c r="Q49" i="1"/>
  <c r="AE48" i="1"/>
  <c r="AC48" i="1"/>
  <c r="AA48" i="1"/>
  <c r="Z48" i="1"/>
  <c r="AD48" i="1" s="1"/>
  <c r="Y48" i="1"/>
  <c r="X48" i="1"/>
  <c r="AB48" i="1" s="1"/>
  <c r="AF48" i="1" s="1"/>
  <c r="W48" i="1"/>
  <c r="V48" i="1"/>
  <c r="U48" i="1"/>
  <c r="T48" i="1"/>
  <c r="S48" i="1"/>
  <c r="R48" i="1"/>
  <c r="Q48" i="1"/>
  <c r="AE47" i="1"/>
  <c r="AC47" i="1"/>
  <c r="AA47" i="1"/>
  <c r="Z47" i="1"/>
  <c r="AD47" i="1" s="1"/>
  <c r="Y47" i="1"/>
  <c r="X47" i="1"/>
  <c r="AB47" i="1" s="1"/>
  <c r="AF47" i="1" s="1"/>
  <c r="W47" i="1"/>
  <c r="V47" i="1"/>
  <c r="U47" i="1"/>
  <c r="T47" i="1"/>
  <c r="S47" i="1"/>
  <c r="R47" i="1"/>
  <c r="Q47" i="1"/>
  <c r="AE46" i="1"/>
  <c r="AC46" i="1"/>
  <c r="AA46" i="1"/>
  <c r="Z46" i="1"/>
  <c r="AD46" i="1" s="1"/>
  <c r="Y46" i="1"/>
  <c r="X46" i="1"/>
  <c r="AB46" i="1" s="1"/>
  <c r="AF46" i="1" s="1"/>
  <c r="W46" i="1"/>
  <c r="V46" i="1"/>
  <c r="U46" i="1"/>
  <c r="T46" i="1"/>
  <c r="S46" i="1"/>
  <c r="R46" i="1"/>
  <c r="Q46" i="1"/>
  <c r="AE45" i="1"/>
  <c r="AA45" i="1"/>
  <c r="Z45" i="1"/>
  <c r="AD45" i="1" s="1"/>
  <c r="X45" i="1"/>
  <c r="AB45" i="1" s="1"/>
  <c r="AF45" i="1" s="1"/>
  <c r="W45" i="1"/>
  <c r="V45" i="1"/>
  <c r="T45" i="1"/>
  <c r="S45" i="1"/>
  <c r="R45" i="1"/>
  <c r="Q45" i="1"/>
  <c r="U45" i="1" s="1"/>
  <c r="Y45" i="1" s="1"/>
  <c r="AC45" i="1" s="1"/>
  <c r="AE44" i="1"/>
  <c r="AA44" i="1"/>
  <c r="Z44" i="1"/>
  <c r="AD44" i="1" s="1"/>
  <c r="X44" i="1"/>
  <c r="AB44" i="1" s="1"/>
  <c r="AF44" i="1" s="1"/>
  <c r="W44" i="1"/>
  <c r="V44" i="1"/>
  <c r="T44" i="1"/>
  <c r="S44" i="1"/>
  <c r="R44" i="1"/>
  <c r="Q44" i="1"/>
  <c r="U44" i="1" s="1"/>
  <c r="Y44" i="1" s="1"/>
  <c r="AC44" i="1" s="1"/>
  <c r="AE43" i="1"/>
  <c r="AA43" i="1"/>
  <c r="Z43" i="1"/>
  <c r="AD43" i="1" s="1"/>
  <c r="X43" i="1"/>
  <c r="AB43" i="1" s="1"/>
  <c r="AF43" i="1" s="1"/>
  <c r="W43" i="1"/>
  <c r="V43" i="1"/>
  <c r="T43" i="1"/>
  <c r="S43" i="1"/>
  <c r="R43" i="1"/>
  <c r="Q43" i="1"/>
  <c r="U43" i="1" s="1"/>
  <c r="Y43" i="1" s="1"/>
  <c r="AC43" i="1" s="1"/>
  <c r="AE42" i="1"/>
  <c r="AA42" i="1"/>
  <c r="Z42" i="1"/>
  <c r="AD42" i="1" s="1"/>
  <c r="X42" i="1"/>
  <c r="AB42" i="1" s="1"/>
  <c r="AF42" i="1" s="1"/>
  <c r="W42" i="1"/>
  <c r="V42" i="1"/>
  <c r="T42" i="1"/>
  <c r="S42" i="1"/>
  <c r="R42" i="1"/>
  <c r="Q42" i="1"/>
  <c r="U42" i="1" s="1"/>
  <c r="Y42" i="1" s="1"/>
  <c r="AC42" i="1" s="1"/>
  <c r="AE41" i="1"/>
  <c r="AA41" i="1"/>
  <c r="Z41" i="1"/>
  <c r="AD41" i="1" s="1"/>
  <c r="X41" i="1"/>
  <c r="AB41" i="1" s="1"/>
  <c r="AF41" i="1" s="1"/>
  <c r="W41" i="1"/>
  <c r="V41" i="1"/>
  <c r="T41" i="1"/>
  <c r="S41" i="1"/>
  <c r="R41" i="1"/>
  <c r="Q41" i="1"/>
  <c r="U41" i="1" s="1"/>
  <c r="Y41" i="1" s="1"/>
  <c r="AC41" i="1" s="1"/>
  <c r="AE40" i="1"/>
  <c r="AA40" i="1"/>
  <c r="Z40" i="1"/>
  <c r="AD40" i="1" s="1"/>
  <c r="X40" i="1"/>
  <c r="AB40" i="1" s="1"/>
  <c r="AF40" i="1" s="1"/>
  <c r="W40" i="1"/>
  <c r="V40" i="1"/>
  <c r="T40" i="1"/>
  <c r="S40" i="1"/>
  <c r="R40" i="1"/>
  <c r="Q40" i="1"/>
  <c r="U40" i="1" s="1"/>
  <c r="Y40" i="1" s="1"/>
  <c r="AC40" i="1" s="1"/>
  <c r="AE39" i="1"/>
  <c r="AA39" i="1"/>
  <c r="Z39" i="1"/>
  <c r="AD39" i="1" s="1"/>
  <c r="X39" i="1"/>
  <c r="AB39" i="1" s="1"/>
  <c r="AF39" i="1" s="1"/>
  <c r="W39" i="1"/>
  <c r="V39" i="1"/>
  <c r="T39" i="1"/>
  <c r="S39" i="1"/>
  <c r="R39" i="1"/>
  <c r="Q39" i="1"/>
  <c r="U39" i="1" s="1"/>
  <c r="Y39" i="1" s="1"/>
  <c r="AC39" i="1" s="1"/>
  <c r="AE38" i="1"/>
  <c r="AA38" i="1"/>
  <c r="Z38" i="1"/>
  <c r="AD38" i="1" s="1"/>
  <c r="X38" i="1"/>
  <c r="AB38" i="1" s="1"/>
  <c r="AF38" i="1" s="1"/>
  <c r="W38" i="1"/>
  <c r="V38" i="1"/>
  <c r="T38" i="1"/>
  <c r="S38" i="1"/>
  <c r="R38" i="1"/>
  <c r="Q38" i="1"/>
  <c r="U38" i="1" s="1"/>
  <c r="Y38" i="1" s="1"/>
  <c r="AC38" i="1" s="1"/>
  <c r="AE37" i="1"/>
  <c r="AA37" i="1"/>
  <c r="Z37" i="1"/>
  <c r="AD37" i="1" s="1"/>
  <c r="X37" i="1"/>
  <c r="AB37" i="1" s="1"/>
  <c r="AF37" i="1" s="1"/>
  <c r="W37" i="1"/>
  <c r="V37" i="1"/>
  <c r="T37" i="1"/>
  <c r="S37" i="1"/>
  <c r="R37" i="1"/>
  <c r="Q37" i="1"/>
  <c r="U37" i="1" s="1"/>
  <c r="Y37" i="1" s="1"/>
  <c r="AC37" i="1" s="1"/>
  <c r="AE36" i="1"/>
  <c r="AA36" i="1"/>
  <c r="Z36" i="1"/>
  <c r="AD36" i="1" s="1"/>
  <c r="X36" i="1"/>
  <c r="AB36" i="1" s="1"/>
  <c r="AF36" i="1" s="1"/>
  <c r="W36" i="1"/>
  <c r="V36" i="1"/>
  <c r="T36" i="1"/>
  <c r="S36" i="1"/>
  <c r="R36" i="1"/>
  <c r="Q36" i="1"/>
  <c r="U36" i="1" s="1"/>
  <c r="Y36" i="1" s="1"/>
  <c r="AC36" i="1" s="1"/>
  <c r="AE35" i="1"/>
  <c r="AA35" i="1"/>
  <c r="Z35" i="1"/>
  <c r="AD35" i="1" s="1"/>
  <c r="X35" i="1"/>
  <c r="AB35" i="1" s="1"/>
  <c r="AF35" i="1" s="1"/>
  <c r="W35" i="1"/>
  <c r="V35" i="1"/>
  <c r="T35" i="1"/>
  <c r="S35" i="1"/>
  <c r="R35" i="1"/>
  <c r="Q35" i="1"/>
  <c r="U35" i="1" s="1"/>
  <c r="Y35" i="1" s="1"/>
  <c r="AC35" i="1" s="1"/>
  <c r="AE34" i="1"/>
  <c r="AA34" i="1"/>
  <c r="Z34" i="1"/>
  <c r="AD34" i="1" s="1"/>
  <c r="X34" i="1"/>
  <c r="AB34" i="1" s="1"/>
  <c r="AF34" i="1" s="1"/>
  <c r="W34" i="1"/>
  <c r="V34" i="1"/>
  <c r="T34" i="1"/>
  <c r="S34" i="1"/>
  <c r="R34" i="1"/>
  <c r="Q34" i="1"/>
  <c r="U34" i="1" s="1"/>
  <c r="Y34" i="1" s="1"/>
  <c r="AC34" i="1" s="1"/>
  <c r="AE33" i="1"/>
  <c r="AA33" i="1"/>
  <c r="Z33" i="1"/>
  <c r="AD33" i="1" s="1"/>
  <c r="X33" i="1"/>
  <c r="AB33" i="1" s="1"/>
  <c r="AF33" i="1" s="1"/>
  <c r="W33" i="1"/>
  <c r="V33" i="1"/>
  <c r="T33" i="1"/>
  <c r="S33" i="1"/>
  <c r="R33" i="1"/>
  <c r="Q33" i="1"/>
  <c r="U33" i="1" s="1"/>
  <c r="Y33" i="1" s="1"/>
  <c r="AC33" i="1" s="1"/>
  <c r="AE32" i="1"/>
  <c r="AA32" i="1"/>
  <c r="Z32" i="1"/>
  <c r="AD32" i="1" s="1"/>
  <c r="X32" i="1"/>
  <c r="AB32" i="1" s="1"/>
  <c r="AF32" i="1" s="1"/>
  <c r="W32" i="1"/>
  <c r="V32" i="1"/>
  <c r="T32" i="1"/>
  <c r="S32" i="1"/>
  <c r="R32" i="1"/>
  <c r="Q32" i="1"/>
  <c r="U32" i="1" s="1"/>
  <c r="Y32" i="1" s="1"/>
  <c r="AC32" i="1" s="1"/>
  <c r="AE31" i="1"/>
  <c r="AA31" i="1"/>
  <c r="Z31" i="1"/>
  <c r="AD31" i="1" s="1"/>
  <c r="X31" i="1"/>
  <c r="AB31" i="1" s="1"/>
  <c r="AF31" i="1" s="1"/>
  <c r="W31" i="1"/>
  <c r="V31" i="1"/>
  <c r="T31" i="1"/>
  <c r="S31" i="1"/>
  <c r="R31" i="1"/>
  <c r="Q31" i="1"/>
  <c r="U31" i="1" s="1"/>
  <c r="Y31" i="1" s="1"/>
  <c r="AC31" i="1" s="1"/>
  <c r="AE30" i="1"/>
  <c r="AA30" i="1"/>
  <c r="Z30" i="1"/>
  <c r="AD30" i="1" s="1"/>
  <c r="X30" i="1"/>
  <c r="AB30" i="1" s="1"/>
  <c r="AF30" i="1" s="1"/>
  <c r="W30" i="1"/>
  <c r="V30" i="1"/>
  <c r="T30" i="1"/>
  <c r="S30" i="1"/>
  <c r="R30" i="1"/>
  <c r="Q30" i="1"/>
  <c r="U30" i="1" s="1"/>
  <c r="Y30" i="1" s="1"/>
  <c r="AC30" i="1" s="1"/>
  <c r="AE29" i="1"/>
  <c r="AA29" i="1"/>
  <c r="Z29" i="1"/>
  <c r="AD29" i="1" s="1"/>
  <c r="X29" i="1"/>
  <c r="AB29" i="1" s="1"/>
  <c r="AF29" i="1" s="1"/>
  <c r="W29" i="1"/>
  <c r="V29" i="1"/>
  <c r="T29" i="1"/>
  <c r="S29" i="1"/>
  <c r="R29" i="1"/>
  <c r="Q29" i="1"/>
  <c r="U29" i="1" s="1"/>
  <c r="Y29" i="1" s="1"/>
  <c r="AC29" i="1" s="1"/>
  <c r="AE28" i="1"/>
  <c r="AA28" i="1"/>
  <c r="Z28" i="1"/>
  <c r="AD28" i="1" s="1"/>
  <c r="X28" i="1"/>
  <c r="AB28" i="1" s="1"/>
  <c r="AF28" i="1" s="1"/>
  <c r="W28" i="1"/>
  <c r="V28" i="1"/>
  <c r="T28" i="1"/>
  <c r="S28" i="1"/>
  <c r="R28" i="1"/>
  <c r="Q28" i="1"/>
  <c r="U28" i="1" s="1"/>
  <c r="Y28" i="1" s="1"/>
  <c r="AC28" i="1" s="1"/>
  <c r="AE27" i="1"/>
  <c r="AA27" i="1"/>
  <c r="Z27" i="1"/>
  <c r="AD27" i="1" s="1"/>
  <c r="X27" i="1"/>
  <c r="AB27" i="1" s="1"/>
  <c r="AF27" i="1" s="1"/>
  <c r="W27" i="1"/>
  <c r="V27" i="1"/>
  <c r="T27" i="1"/>
  <c r="S27" i="1"/>
  <c r="R27" i="1"/>
  <c r="Q27" i="1"/>
  <c r="U27" i="1" s="1"/>
  <c r="Y27" i="1" s="1"/>
  <c r="AC27" i="1" s="1"/>
  <c r="AE26" i="1"/>
  <c r="AA26" i="1"/>
  <c r="Z26" i="1"/>
  <c r="AD26" i="1" s="1"/>
  <c r="X26" i="1"/>
  <c r="AB26" i="1" s="1"/>
  <c r="AF26" i="1" s="1"/>
  <c r="W26" i="1"/>
  <c r="V26" i="1"/>
  <c r="T26" i="1"/>
  <c r="S26" i="1"/>
  <c r="R26" i="1"/>
  <c r="Q26" i="1"/>
  <c r="U26" i="1" s="1"/>
  <c r="Y26" i="1" s="1"/>
  <c r="AC26" i="1" s="1"/>
  <c r="AE25" i="1"/>
  <c r="AA25" i="1"/>
  <c r="Z25" i="1"/>
  <c r="AD25" i="1" s="1"/>
  <c r="X25" i="1"/>
  <c r="AB25" i="1" s="1"/>
  <c r="AF25" i="1" s="1"/>
  <c r="W25" i="1"/>
  <c r="V25" i="1"/>
  <c r="T25" i="1"/>
  <c r="S25" i="1"/>
  <c r="R25" i="1"/>
  <c r="Q25" i="1"/>
  <c r="U25" i="1" s="1"/>
  <c r="Y25" i="1" s="1"/>
  <c r="AC25" i="1" s="1"/>
  <c r="AE24" i="1"/>
  <c r="AA24" i="1"/>
  <c r="Z24" i="1"/>
  <c r="AD24" i="1" s="1"/>
  <c r="X24" i="1"/>
  <c r="AB24" i="1" s="1"/>
  <c r="AF24" i="1" s="1"/>
  <c r="W24" i="1"/>
  <c r="V24" i="1"/>
  <c r="T24" i="1"/>
  <c r="S24" i="1"/>
  <c r="R24" i="1"/>
  <c r="Q24" i="1"/>
  <c r="U24" i="1" s="1"/>
  <c r="Y24" i="1" s="1"/>
  <c r="AC24" i="1" s="1"/>
  <c r="AE23" i="1"/>
  <c r="AA23" i="1"/>
  <c r="Z23" i="1"/>
  <c r="AD23" i="1" s="1"/>
  <c r="X23" i="1"/>
  <c r="AB23" i="1" s="1"/>
  <c r="AF23" i="1" s="1"/>
  <c r="W23" i="1"/>
  <c r="V23" i="1"/>
  <c r="T23" i="1"/>
  <c r="S23" i="1"/>
  <c r="R23" i="1"/>
  <c r="Q23" i="1"/>
  <c r="U23" i="1" s="1"/>
  <c r="Y23" i="1" s="1"/>
  <c r="AC23" i="1" s="1"/>
  <c r="AE22" i="1"/>
  <c r="AA22" i="1"/>
  <c r="Z22" i="1"/>
  <c r="AD22" i="1" s="1"/>
  <c r="X22" i="1"/>
  <c r="AB22" i="1" s="1"/>
  <c r="AF22" i="1" s="1"/>
  <c r="W22" i="1"/>
  <c r="V22" i="1"/>
  <c r="T22" i="1"/>
  <c r="S22" i="1"/>
  <c r="R22" i="1"/>
  <c r="Q22" i="1"/>
  <c r="U22" i="1" s="1"/>
  <c r="Y22" i="1" s="1"/>
  <c r="AC22" i="1" s="1"/>
  <c r="AE21" i="1"/>
  <c r="AA21" i="1"/>
  <c r="Z21" i="1"/>
  <c r="AD21" i="1" s="1"/>
  <c r="X21" i="1"/>
  <c r="AB21" i="1" s="1"/>
  <c r="AF21" i="1" s="1"/>
  <c r="W21" i="1"/>
  <c r="V21" i="1"/>
  <c r="T21" i="1"/>
  <c r="S21" i="1"/>
  <c r="R21" i="1"/>
  <c r="Q21" i="1"/>
  <c r="U21" i="1" s="1"/>
  <c r="Y21" i="1" s="1"/>
  <c r="AC21" i="1" s="1"/>
  <c r="AE20" i="1"/>
  <c r="AA20" i="1"/>
  <c r="Z20" i="1"/>
  <c r="AD20" i="1" s="1"/>
  <c r="X20" i="1"/>
  <c r="AB20" i="1" s="1"/>
  <c r="AF20" i="1" s="1"/>
  <c r="W20" i="1"/>
  <c r="V20" i="1"/>
  <c r="T20" i="1"/>
  <c r="S20" i="1"/>
  <c r="R20" i="1"/>
  <c r="Q20" i="1"/>
  <c r="U20" i="1" s="1"/>
  <c r="Y20" i="1" s="1"/>
  <c r="AC20" i="1" s="1"/>
  <c r="AE19" i="1"/>
  <c r="AA19" i="1"/>
  <c r="Z19" i="1"/>
  <c r="AD19" i="1" s="1"/>
  <c r="X19" i="1"/>
  <c r="AB19" i="1" s="1"/>
  <c r="AF19" i="1" s="1"/>
  <c r="W19" i="1"/>
  <c r="V19" i="1"/>
  <c r="T19" i="1"/>
  <c r="S19" i="1"/>
  <c r="R19" i="1"/>
  <c r="Q19" i="1"/>
  <c r="U19" i="1" s="1"/>
  <c r="Y19" i="1" s="1"/>
  <c r="AC19" i="1" s="1"/>
  <c r="AE18" i="1"/>
  <c r="AA18" i="1"/>
  <c r="Z18" i="1"/>
  <c r="AD18" i="1" s="1"/>
  <c r="X18" i="1"/>
  <c r="AB18" i="1" s="1"/>
  <c r="AF18" i="1" s="1"/>
  <c r="W18" i="1"/>
  <c r="V18" i="1"/>
  <c r="T18" i="1"/>
  <c r="S18" i="1"/>
  <c r="R18" i="1"/>
  <c r="Q18" i="1"/>
  <c r="U18" i="1" s="1"/>
  <c r="Y18" i="1" s="1"/>
  <c r="AC18" i="1" s="1"/>
  <c r="AE17" i="1"/>
  <c r="AA17" i="1"/>
  <c r="Z17" i="1"/>
  <c r="AD17" i="1" s="1"/>
  <c r="X17" i="1"/>
  <c r="AB17" i="1" s="1"/>
  <c r="AF17" i="1" s="1"/>
  <c r="W17" i="1"/>
  <c r="V17" i="1"/>
  <c r="T17" i="1"/>
  <c r="S17" i="1"/>
  <c r="R17" i="1"/>
  <c r="Q17" i="1"/>
  <c r="U17" i="1" s="1"/>
  <c r="Y17" i="1" s="1"/>
  <c r="AC17" i="1" s="1"/>
  <c r="AE16" i="1"/>
  <c r="AA16" i="1"/>
  <c r="Z16" i="1"/>
  <c r="AD16" i="1" s="1"/>
  <c r="X16" i="1"/>
  <c r="AB16" i="1" s="1"/>
  <c r="AF16" i="1" s="1"/>
  <c r="W16" i="1"/>
  <c r="V16" i="1"/>
  <c r="T16" i="1"/>
  <c r="S16" i="1"/>
  <c r="R16" i="1"/>
  <c r="Q16" i="1"/>
  <c r="U16" i="1" s="1"/>
  <c r="Y16" i="1" s="1"/>
  <c r="AC16" i="1" s="1"/>
  <c r="AE15" i="1"/>
  <c r="AA15" i="1"/>
  <c r="Z15" i="1"/>
  <c r="AD15" i="1" s="1"/>
  <c r="X15" i="1"/>
  <c r="AB15" i="1" s="1"/>
  <c r="AF15" i="1" s="1"/>
  <c r="W15" i="1"/>
  <c r="V15" i="1"/>
  <c r="T15" i="1"/>
  <c r="S15" i="1"/>
  <c r="R15" i="1"/>
  <c r="Q15" i="1"/>
  <c r="U15" i="1" s="1"/>
  <c r="Y15" i="1" s="1"/>
  <c r="AC15" i="1" s="1"/>
  <c r="AE14" i="1"/>
  <c r="AA14" i="1"/>
  <c r="Z14" i="1"/>
  <c r="AD14" i="1" s="1"/>
  <c r="X14" i="1"/>
  <c r="AB14" i="1" s="1"/>
  <c r="AF14" i="1" s="1"/>
  <c r="W14" i="1"/>
  <c r="V14" i="1"/>
  <c r="T14" i="1"/>
  <c r="S14" i="1"/>
  <c r="R14" i="1"/>
  <c r="Q14" i="1"/>
  <c r="U14" i="1" s="1"/>
  <c r="Y14" i="1" s="1"/>
  <c r="AC14" i="1" s="1"/>
  <c r="AE13" i="1"/>
  <c r="AA13" i="1"/>
  <c r="Z13" i="1"/>
  <c r="AD13" i="1" s="1"/>
  <c r="X13" i="1"/>
  <c r="AB13" i="1" s="1"/>
  <c r="AF13" i="1" s="1"/>
  <c r="W13" i="1"/>
  <c r="V13" i="1"/>
  <c r="T13" i="1"/>
  <c r="S13" i="1"/>
  <c r="R13" i="1"/>
  <c r="Q13" i="1"/>
  <c r="U13" i="1" s="1"/>
  <c r="Y13" i="1" s="1"/>
  <c r="AC13" i="1" s="1"/>
  <c r="AE12" i="1"/>
  <c r="AA12" i="1"/>
  <c r="Z12" i="1"/>
  <c r="AD12" i="1" s="1"/>
  <c r="X12" i="1"/>
  <c r="AB12" i="1" s="1"/>
  <c r="AF12" i="1" s="1"/>
  <c r="W12" i="1"/>
  <c r="V12" i="1"/>
  <c r="T12" i="1"/>
  <c r="S12" i="1"/>
  <c r="R12" i="1"/>
  <c r="Q12" i="1"/>
  <c r="U12" i="1" s="1"/>
  <c r="Y12" i="1" s="1"/>
  <c r="AC12" i="1" s="1"/>
  <c r="AE11" i="1"/>
  <c r="AA11" i="1"/>
  <c r="Z11" i="1"/>
  <c r="AD11" i="1" s="1"/>
  <c r="X11" i="1"/>
  <c r="AB11" i="1" s="1"/>
  <c r="AF11" i="1" s="1"/>
  <c r="W11" i="1"/>
  <c r="V11" i="1"/>
  <c r="T11" i="1"/>
  <c r="S11" i="1"/>
  <c r="R11" i="1"/>
  <c r="Q11" i="1"/>
  <c r="U11" i="1" s="1"/>
  <c r="Y11" i="1" s="1"/>
  <c r="AC11" i="1" s="1"/>
  <c r="AE10" i="1"/>
  <c r="AA10" i="1"/>
  <c r="Z10" i="1"/>
  <c r="AD10" i="1" s="1"/>
  <c r="X10" i="1"/>
  <c r="AB10" i="1" s="1"/>
  <c r="AF10" i="1" s="1"/>
  <c r="W10" i="1"/>
  <c r="V10" i="1"/>
  <c r="T10" i="1"/>
  <c r="S10" i="1"/>
  <c r="R10" i="1"/>
  <c r="Q10" i="1"/>
  <c r="U10" i="1" s="1"/>
  <c r="Y10" i="1" s="1"/>
  <c r="AC10" i="1" s="1"/>
  <c r="AE9" i="1"/>
  <c r="AA9" i="1"/>
  <c r="Z9" i="1"/>
  <c r="AD9" i="1" s="1"/>
  <c r="X9" i="1"/>
  <c r="AB9" i="1" s="1"/>
  <c r="AF9" i="1" s="1"/>
  <c r="W9" i="1"/>
  <c r="V9" i="1"/>
  <c r="T9" i="1"/>
  <c r="S9" i="1"/>
  <c r="R9" i="1"/>
  <c r="Q9" i="1"/>
  <c r="U9" i="1" s="1"/>
  <c r="Y9" i="1" s="1"/>
  <c r="AC9" i="1" s="1"/>
  <c r="AE8" i="1"/>
  <c r="AA8" i="1"/>
  <c r="Z8" i="1"/>
  <c r="AD8" i="1" s="1"/>
  <c r="X8" i="1"/>
  <c r="AB8" i="1" s="1"/>
  <c r="AF8" i="1" s="1"/>
  <c r="W8" i="1"/>
  <c r="V8" i="1"/>
  <c r="T8" i="1"/>
  <c r="S8" i="1"/>
  <c r="R8" i="1"/>
  <c r="Q8" i="1"/>
  <c r="U8" i="1" s="1"/>
  <c r="Y8" i="1" s="1"/>
  <c r="AC8" i="1" s="1"/>
  <c r="AE7" i="1"/>
  <c r="AA7" i="1"/>
  <c r="Z7" i="1"/>
  <c r="AD7" i="1" s="1"/>
  <c r="X7" i="1"/>
  <c r="AB7" i="1" s="1"/>
  <c r="AF7" i="1" s="1"/>
  <c r="W7" i="1"/>
  <c r="V7" i="1"/>
  <c r="T7" i="1"/>
  <c r="S7" i="1"/>
  <c r="R7" i="1"/>
  <c r="Q7" i="1"/>
  <c r="U7" i="1" s="1"/>
  <c r="Y7" i="1" s="1"/>
  <c r="AC7" i="1" s="1"/>
  <c r="AE6" i="1"/>
  <c r="AA6" i="1"/>
  <c r="Z6" i="1"/>
  <c r="AD6" i="1" s="1"/>
  <c r="X6" i="1"/>
  <c r="AB6" i="1" s="1"/>
  <c r="AF6" i="1" s="1"/>
  <c r="W6" i="1"/>
  <c r="V6" i="1"/>
  <c r="T6" i="1"/>
  <c r="S6" i="1"/>
  <c r="R6" i="1"/>
  <c r="Q6" i="1"/>
  <c r="U6" i="1" s="1"/>
  <c r="Y6" i="1" s="1"/>
  <c r="AC6" i="1" s="1"/>
  <c r="AE5" i="1"/>
  <c r="AA5" i="1"/>
  <c r="Z5" i="1"/>
  <c r="AD5" i="1" s="1"/>
  <c r="X5" i="1"/>
  <c r="AB5" i="1" s="1"/>
  <c r="AF5" i="1" s="1"/>
  <c r="W5" i="1"/>
  <c r="V5" i="1"/>
  <c r="T5" i="1"/>
  <c r="S5" i="1"/>
  <c r="R5" i="1"/>
  <c r="Q5" i="1"/>
  <c r="U5" i="1" s="1"/>
  <c r="Y5" i="1" s="1"/>
  <c r="AC5" i="1" s="1"/>
  <c r="AG5" i="2" l="1"/>
  <c r="AG7" i="2"/>
  <c r="AG9" i="2"/>
  <c r="AG11" i="2"/>
  <c r="AG13" i="2"/>
  <c r="AG15" i="2"/>
  <c r="AG17" i="2"/>
  <c r="AG19" i="2"/>
  <c r="AG21" i="2"/>
  <c r="AG23" i="2"/>
  <c r="AG25" i="2"/>
  <c r="AG27" i="2"/>
  <c r="AG29" i="2"/>
  <c r="AG31" i="2"/>
  <c r="AG33" i="2"/>
  <c r="AG35" i="2"/>
  <c r="AG37" i="2"/>
  <c r="AG39" i="2"/>
  <c r="AG41" i="2"/>
  <c r="AG43" i="2"/>
  <c r="AG45" i="2"/>
  <c r="AG47" i="2"/>
  <c r="AG49" i="2"/>
  <c r="AG51" i="2"/>
  <c r="AG53" i="2"/>
  <c r="AJ5" i="2"/>
  <c r="AJ7" i="2"/>
  <c r="AJ9" i="2"/>
  <c r="AJ11" i="2"/>
  <c r="AJ13" i="2"/>
  <c r="AJ15" i="2"/>
  <c r="AJ17" i="2"/>
  <c r="AJ19" i="2"/>
  <c r="AJ21" i="2"/>
  <c r="AJ23" i="2"/>
  <c r="AJ25" i="2"/>
  <c r="AJ27" i="2"/>
  <c r="AJ29" i="2"/>
  <c r="AJ31" i="2"/>
  <c r="AJ33" i="2"/>
  <c r="AJ35" i="2"/>
  <c r="AJ37" i="2"/>
  <c r="AJ39" i="2"/>
  <c r="AJ41" i="2"/>
  <c r="AJ43" i="2"/>
  <c r="AJ45" i="2"/>
  <c r="AJ47" i="2"/>
  <c r="AJ49" i="2"/>
  <c r="AJ51" i="2"/>
  <c r="AJ53" i="2"/>
  <c r="AK5" i="2"/>
  <c r="AK7" i="2"/>
  <c r="AK9" i="2"/>
  <c r="AK11" i="2"/>
  <c r="AK13" i="2"/>
  <c r="AK15" i="2"/>
  <c r="AK17" i="2"/>
  <c r="AK19" i="2"/>
  <c r="AK21" i="2"/>
  <c r="AK23" i="2"/>
  <c r="AK25" i="2"/>
  <c r="AK27" i="2"/>
  <c r="AK29" i="2"/>
  <c r="AK31" i="2"/>
  <c r="AK33" i="2"/>
  <c r="AK35" i="2"/>
  <c r="AK37" i="2"/>
  <c r="AK39" i="2"/>
  <c r="AK41" i="2"/>
  <c r="AK43" i="2"/>
  <c r="AK45" i="2"/>
  <c r="AK47" i="2"/>
  <c r="AK49" i="2"/>
  <c r="AK51" i="2"/>
  <c r="AK53" i="2"/>
  <c r="AL5" i="2"/>
  <c r="AL7" i="2"/>
  <c r="AL9" i="2"/>
  <c r="AL11" i="2"/>
  <c r="AL13" i="2"/>
  <c r="AL15" i="2"/>
  <c r="AL17" i="2"/>
  <c r="AL19" i="2"/>
  <c r="AL21" i="2"/>
  <c r="AL23" i="2"/>
  <c r="AL25" i="2"/>
  <c r="AL27" i="2"/>
  <c r="AL29" i="2"/>
  <c r="AL31" i="2"/>
  <c r="AL33" i="2"/>
  <c r="AL35" i="2"/>
  <c r="AL37" i="2"/>
  <c r="AL39" i="2"/>
  <c r="AL41" i="2"/>
  <c r="AL43" i="2"/>
  <c r="AL45" i="2"/>
  <c r="AL47" i="2"/>
  <c r="AL49" i="2"/>
  <c r="AL51" i="2"/>
  <c r="AL53" i="2"/>
  <c r="AM5" i="2"/>
  <c r="AM7" i="2"/>
  <c r="AM9" i="2"/>
  <c r="AM11" i="2"/>
  <c r="AM13" i="2"/>
  <c r="AM15" i="2"/>
  <c r="AM17" i="2"/>
  <c r="AM19" i="2"/>
  <c r="AM21" i="2"/>
  <c r="AM23" i="2"/>
  <c r="AM25" i="2"/>
  <c r="AM27" i="2"/>
  <c r="AM29" i="2"/>
  <c r="AM31" i="2"/>
  <c r="AM33" i="2"/>
  <c r="AM35" i="2"/>
  <c r="AM37" i="2"/>
  <c r="AM39" i="2"/>
  <c r="AM41" i="2"/>
  <c r="AM43" i="2"/>
  <c r="AM45" i="2"/>
  <c r="AM47" i="2"/>
  <c r="AM49" i="2"/>
  <c r="AM51" i="2"/>
  <c r="AM53" i="2"/>
  <c r="AH49" i="2"/>
  <c r="AN5" i="2"/>
  <c r="AN7" i="2"/>
  <c r="AN9" i="2"/>
  <c r="AN11" i="2"/>
  <c r="AN13" i="2"/>
  <c r="AN15" i="2"/>
  <c r="AN17" i="2"/>
  <c r="AN19" i="2"/>
  <c r="AN21" i="2"/>
  <c r="AN23" i="2"/>
  <c r="AN25" i="2"/>
  <c r="AN27" i="2"/>
  <c r="AN29" i="2"/>
  <c r="AN31" i="2"/>
  <c r="AN33" i="2"/>
  <c r="AN35" i="2"/>
  <c r="AN37" i="2"/>
  <c r="AN39" i="2"/>
  <c r="AN41" i="2"/>
  <c r="AN43" i="2"/>
  <c r="AN45" i="2"/>
  <c r="AN47" i="2"/>
  <c r="AN49" i="2"/>
  <c r="AN51" i="2"/>
  <c r="AN53" i="2"/>
  <c r="AG54" i="2"/>
</calcChain>
</file>

<file path=xl/sharedStrings.xml><?xml version="1.0" encoding="utf-8"?>
<sst xmlns="http://schemas.openxmlformats.org/spreadsheetml/2006/main" count="305" uniqueCount="93">
  <si>
    <t>ΔCt</t>
  </si>
  <si>
    <t>ΔΔCt</t>
  </si>
  <si>
    <t>2^-(ΔΔCt)</t>
  </si>
  <si>
    <t>Fold Change</t>
  </si>
  <si>
    <t>Raw Data</t>
  </si>
  <si>
    <t>1h-0mM</t>
  </si>
  <si>
    <t>1h-10mM</t>
  </si>
  <si>
    <t>1h-20mM</t>
  </si>
  <si>
    <t>1h-30mM</t>
  </si>
  <si>
    <t xml:space="preserve">Endothelium </t>
  </si>
  <si>
    <t>GENE</t>
  </si>
  <si>
    <t>G0_1</t>
  </si>
  <si>
    <t>G0_3</t>
  </si>
  <si>
    <t>G0_6</t>
  </si>
  <si>
    <t>G10_1</t>
  </si>
  <si>
    <t>G10_3</t>
  </si>
  <si>
    <t>G10_6</t>
  </si>
  <si>
    <t>G20_1</t>
  </si>
  <si>
    <t>G20_3</t>
  </si>
  <si>
    <t>G20_6</t>
  </si>
  <si>
    <t>G30_1</t>
  </si>
  <si>
    <t>G30_3</t>
  </si>
  <si>
    <t>G30_6</t>
  </si>
  <si>
    <t>GAPDH</t>
  </si>
  <si>
    <t>VEGFA</t>
  </si>
  <si>
    <t>VEGFB</t>
  </si>
  <si>
    <t>VEGFC</t>
  </si>
  <si>
    <t>NOS3</t>
  </si>
  <si>
    <t>ICAM1</t>
  </si>
  <si>
    <t>VCAM1</t>
  </si>
  <si>
    <t>PECAM1</t>
  </si>
  <si>
    <t>TEK</t>
  </si>
  <si>
    <t>NRP1</t>
  </si>
  <si>
    <t>KLF2</t>
  </si>
  <si>
    <t>KLF4</t>
  </si>
  <si>
    <t>SIRT1</t>
  </si>
  <si>
    <t>FOXO1</t>
  </si>
  <si>
    <t>NFE2L2</t>
  </si>
  <si>
    <t>PPARGC1A</t>
  </si>
  <si>
    <t>APOE</t>
  </si>
  <si>
    <t>ADRB2</t>
  </si>
  <si>
    <t>CYP2C8</t>
  </si>
  <si>
    <t>ACE</t>
  </si>
  <si>
    <t>AGTR1</t>
  </si>
  <si>
    <t>EDN1</t>
  </si>
  <si>
    <t>ACTB</t>
  </si>
  <si>
    <t>CALM1</t>
  </si>
  <si>
    <t>Glycocalyx</t>
  </si>
  <si>
    <t>ST3GAL1</t>
  </si>
  <si>
    <t>FUT1</t>
  </si>
  <si>
    <t>FUT2</t>
  </si>
  <si>
    <t>MGAT1</t>
  </si>
  <si>
    <t>GLA</t>
  </si>
  <si>
    <t>EXT1</t>
  </si>
  <si>
    <t>EXT2</t>
  </si>
  <si>
    <t>UGT8</t>
  </si>
  <si>
    <t>MGAT2</t>
  </si>
  <si>
    <t>ST6GALNAC1</t>
  </si>
  <si>
    <t>ST6GALNAC2</t>
  </si>
  <si>
    <t>MUC1</t>
  </si>
  <si>
    <t>MUC4</t>
  </si>
  <si>
    <t>GNE</t>
  </si>
  <si>
    <t>CD34</t>
  </si>
  <si>
    <t>GPC1</t>
  </si>
  <si>
    <t>GPC2</t>
  </si>
  <si>
    <t>GPC3</t>
  </si>
  <si>
    <t>SDC1</t>
  </si>
  <si>
    <t>SDC2</t>
  </si>
  <si>
    <t>SDC3</t>
  </si>
  <si>
    <t>PODXL</t>
  </si>
  <si>
    <t>CDH5</t>
  </si>
  <si>
    <t>SDCBP</t>
  </si>
  <si>
    <t>ADAMTS1</t>
  </si>
  <si>
    <t>ADAMTS2</t>
  </si>
  <si>
    <t>ADAMTS3</t>
  </si>
  <si>
    <t>ADAMTS4</t>
  </si>
  <si>
    <t>Normalized to GAPDH</t>
  </si>
  <si>
    <t>Fold Changes</t>
  </si>
  <si>
    <t>0mM</t>
  </si>
  <si>
    <t>10mM</t>
  </si>
  <si>
    <t>20mM</t>
  </si>
  <si>
    <t>30mM</t>
  </si>
  <si>
    <t>3h-0mM</t>
  </si>
  <si>
    <t>6h-0mM</t>
  </si>
  <si>
    <t>3h-10mM</t>
  </si>
  <si>
    <t>6h-10mM</t>
  </si>
  <si>
    <t>3h-20mM</t>
  </si>
  <si>
    <t>6h-20mM</t>
  </si>
  <si>
    <t>3h-30mM</t>
  </si>
  <si>
    <t>6h-30mM</t>
  </si>
  <si>
    <t>1 hour</t>
  </si>
  <si>
    <t>3 hour</t>
  </si>
  <si>
    <t>6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</si>
</sst>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textRotation="255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 textRotation="255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29CD-F8F0-4E49-A969-33AC4CC434CB}">
  <dimension ref="A2:AN54"/>
  <sheetViews>
    <sheetView tabSelected="1" workbookViewId="0">
      <pane xSplit="2" topLeftCell="C1" activePane="topRight" state="frozen"/>
      <selection activeCell="A19" sqref="A19"/>
      <selection pane="topRight" activeCell="P1" sqref="P1"/>
    </sheetView>
  </sheetViews>
  <sheetFormatPr defaultRowHeight="14.4" x14ac:dyDescent="0.3"/>
  <cols>
    <col min="2" max="2" width="10.44140625" bestFit="1" customWidth="1"/>
    <col min="16" max="16" width="10.44140625" bestFit="1" customWidth="1"/>
    <col min="29" max="29" width="9.109375" customWidth="1"/>
    <col min="30" max="30" width="9.33203125" customWidth="1"/>
    <col min="31" max="31" width="8.88671875" customWidth="1"/>
    <col min="32" max="32" width="9.33203125" customWidth="1"/>
    <col min="33" max="34" width="9.109375" customWidth="1"/>
  </cols>
  <sheetData>
    <row r="2" spans="1:40" x14ac:dyDescent="0.3">
      <c r="Q2" s="5" t="s">
        <v>76</v>
      </c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 t="s">
        <v>77</v>
      </c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</row>
    <row r="3" spans="1:40" x14ac:dyDescent="0.3">
      <c r="B3" s="5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Q3" s="1" t="s">
        <v>78</v>
      </c>
      <c r="R3" s="1"/>
      <c r="S3" s="1"/>
      <c r="T3" s="2" t="s">
        <v>79</v>
      </c>
      <c r="U3" s="2"/>
      <c r="V3" s="2"/>
      <c r="W3" s="3" t="s">
        <v>80</v>
      </c>
      <c r="X3" s="3"/>
      <c r="Y3" s="3"/>
      <c r="Z3" s="4" t="s">
        <v>81</v>
      </c>
      <c r="AA3" s="4"/>
      <c r="AB3" s="4"/>
      <c r="AC3" s="1" t="s">
        <v>78</v>
      </c>
      <c r="AD3" s="1"/>
      <c r="AE3" s="1"/>
      <c r="AF3" s="2" t="s">
        <v>79</v>
      </c>
      <c r="AG3" s="2"/>
      <c r="AH3" s="2"/>
      <c r="AI3" s="3" t="s">
        <v>80</v>
      </c>
      <c r="AJ3" s="3"/>
      <c r="AK3" s="3"/>
      <c r="AL3" s="4" t="s">
        <v>81</v>
      </c>
      <c r="AM3" s="4"/>
      <c r="AN3" s="4"/>
    </row>
    <row r="4" spans="1:40" x14ac:dyDescent="0.3">
      <c r="A4" s="6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  <c r="N4" t="s">
        <v>22</v>
      </c>
      <c r="P4" t="s">
        <v>10</v>
      </c>
      <c r="Q4" t="s">
        <v>5</v>
      </c>
      <c r="R4" t="s">
        <v>82</v>
      </c>
      <c r="S4" t="s">
        <v>83</v>
      </c>
      <c r="T4" t="s">
        <v>6</v>
      </c>
      <c r="U4" t="s">
        <v>84</v>
      </c>
      <c r="V4" t="s">
        <v>85</v>
      </c>
      <c r="W4" t="s">
        <v>7</v>
      </c>
      <c r="X4" t="s">
        <v>86</v>
      </c>
      <c r="Y4" t="s">
        <v>87</v>
      </c>
      <c r="Z4" t="s">
        <v>8</v>
      </c>
      <c r="AA4" t="s">
        <v>88</v>
      </c>
      <c r="AB4" t="s">
        <v>89</v>
      </c>
      <c r="AC4" t="s">
        <v>90</v>
      </c>
      <c r="AD4" t="s">
        <v>91</v>
      </c>
      <c r="AE4" t="s">
        <v>92</v>
      </c>
      <c r="AF4" t="s">
        <v>90</v>
      </c>
      <c r="AG4" t="s">
        <v>91</v>
      </c>
      <c r="AH4" t="s">
        <v>92</v>
      </c>
      <c r="AI4" t="s">
        <v>90</v>
      </c>
      <c r="AJ4" t="s">
        <v>91</v>
      </c>
      <c r="AK4" t="s">
        <v>92</v>
      </c>
      <c r="AL4" t="s">
        <v>90</v>
      </c>
      <c r="AM4" t="s">
        <v>91</v>
      </c>
      <c r="AN4" t="s">
        <v>92</v>
      </c>
    </row>
    <row r="5" spans="1:40" x14ac:dyDescent="0.3">
      <c r="A5" s="6"/>
      <c r="B5" t="s">
        <v>23</v>
      </c>
      <c r="C5">
        <v>68313</v>
      </c>
      <c r="D5">
        <v>90409</v>
      </c>
      <c r="E5">
        <v>72263</v>
      </c>
      <c r="F5">
        <v>89478</v>
      </c>
      <c r="G5">
        <v>86099</v>
      </c>
      <c r="H5">
        <v>123170</v>
      </c>
      <c r="I5">
        <v>94898</v>
      </c>
      <c r="J5">
        <v>79985</v>
      </c>
      <c r="K5">
        <v>103268</v>
      </c>
      <c r="L5">
        <v>78289</v>
      </c>
      <c r="M5">
        <v>56945</v>
      </c>
      <c r="N5">
        <v>82980</v>
      </c>
      <c r="P5" t="s">
        <v>23</v>
      </c>
      <c r="Q5">
        <f>C5/$C$5</f>
        <v>1</v>
      </c>
      <c r="R5">
        <f>D5/$D$5</f>
        <v>1</v>
      </c>
      <c r="S5">
        <f>E5/$E$5</f>
        <v>1</v>
      </c>
      <c r="T5">
        <f>F5/$F$5</f>
        <v>1</v>
      </c>
      <c r="U5">
        <f>G5/$G$5</f>
        <v>1</v>
      </c>
      <c r="V5">
        <f>H5/$H$5</f>
        <v>1</v>
      </c>
      <c r="W5">
        <f>I5/$I$5</f>
        <v>1</v>
      </c>
      <c r="X5">
        <f>J5/$J$5</f>
        <v>1</v>
      </c>
      <c r="Y5">
        <f>K5/$K$5</f>
        <v>1</v>
      </c>
      <c r="Z5">
        <f>L5/$L$5</f>
        <v>1</v>
      </c>
      <c r="AA5">
        <f>M5/$M$5</f>
        <v>1</v>
      </c>
      <c r="AB5">
        <f>N5/$N$5</f>
        <v>1</v>
      </c>
      <c r="AC5" s="10">
        <f>LOG(Q5/Q5,2)</f>
        <v>0</v>
      </c>
      <c r="AD5" s="10">
        <f>LOG(R5/R5,2)</f>
        <v>0</v>
      </c>
      <c r="AE5" s="10">
        <f>LOG(S5/S5,2)</f>
        <v>0</v>
      </c>
      <c r="AF5">
        <f>LOG(T5/Q5,2)</f>
        <v>0</v>
      </c>
      <c r="AG5">
        <f>LOG(U5/R5,2)</f>
        <v>0</v>
      </c>
      <c r="AH5">
        <f>LOG(V5/S5,2)</f>
        <v>0</v>
      </c>
      <c r="AI5">
        <f>LOG(W5/Q5,2)</f>
        <v>0</v>
      </c>
      <c r="AJ5">
        <f>LOG(X5/R5,2)</f>
        <v>0</v>
      </c>
      <c r="AK5">
        <f>LOG(Y5/S5,2)</f>
        <v>0</v>
      </c>
      <c r="AL5">
        <f>LOG(Z5/Q5,2)</f>
        <v>0</v>
      </c>
      <c r="AM5">
        <f>LOG(AA5/R5,2)</f>
        <v>0</v>
      </c>
      <c r="AN5">
        <f>LOG(AB5/S5,2)</f>
        <v>0</v>
      </c>
    </row>
    <row r="6" spans="1:40" x14ac:dyDescent="0.3">
      <c r="A6" s="6"/>
      <c r="B6" t="s">
        <v>24</v>
      </c>
      <c r="C6">
        <v>226</v>
      </c>
      <c r="D6">
        <v>292</v>
      </c>
      <c r="E6">
        <v>180</v>
      </c>
      <c r="F6">
        <v>266</v>
      </c>
      <c r="G6">
        <v>355</v>
      </c>
      <c r="H6">
        <v>553</v>
      </c>
      <c r="I6">
        <v>298</v>
      </c>
      <c r="J6">
        <v>386</v>
      </c>
      <c r="K6">
        <v>316</v>
      </c>
      <c r="L6">
        <v>357</v>
      </c>
      <c r="M6">
        <v>282</v>
      </c>
      <c r="N6">
        <v>300</v>
      </c>
      <c r="P6" t="s">
        <v>24</v>
      </c>
      <c r="Q6">
        <f t="shared" ref="Q6:Q54" si="0">C6/$C$5</f>
        <v>3.3083014945910734E-3</v>
      </c>
      <c r="R6">
        <f t="shared" ref="R6:R54" si="1">D6/$D$5</f>
        <v>3.2297669479808425E-3</v>
      </c>
      <c r="S6">
        <f t="shared" ref="S6:S54" si="2">E6/$E$5</f>
        <v>2.4909012911171692E-3</v>
      </c>
      <c r="T6">
        <f t="shared" ref="T6:T54" si="3">F6/$F$5</f>
        <v>2.9727977826951879E-3</v>
      </c>
      <c r="U6">
        <f t="shared" ref="U6:U54" si="4">G6/$G$5</f>
        <v>4.1231605477415533E-3</v>
      </c>
      <c r="V6">
        <f t="shared" ref="V6:V54" si="5">H6/$H$5</f>
        <v>4.4897296419582691E-3</v>
      </c>
      <c r="W6">
        <f t="shared" ref="W6:W54" si="6">I6/$I$5</f>
        <v>3.1402137031338912E-3</v>
      </c>
      <c r="X6">
        <f t="shared" ref="X6:X54" si="7">J6/$J$5</f>
        <v>4.8259048571607181E-3</v>
      </c>
      <c r="Y6">
        <f t="shared" ref="Y6:Y54" si="8">K6/$K$5</f>
        <v>3.0599992253166519E-3</v>
      </c>
      <c r="Z6">
        <f t="shared" ref="Z6:Z54" si="9">L6/$L$5</f>
        <v>4.5600275900828978E-3</v>
      </c>
      <c r="AA6">
        <f t="shared" ref="AA6:AA54" si="10">M6/$M$5</f>
        <v>4.9521468083238212E-3</v>
      </c>
      <c r="AB6">
        <f t="shared" ref="AB6:AB54" si="11">N6/$N$5</f>
        <v>3.6153289949385392E-3</v>
      </c>
      <c r="AC6" s="10">
        <f t="shared" ref="AC6:AE54" si="12">LOG(Q6/Q6,2)</f>
        <v>0</v>
      </c>
      <c r="AD6" s="10">
        <f t="shared" si="12"/>
        <v>0</v>
      </c>
      <c r="AE6" s="10">
        <f t="shared" si="12"/>
        <v>0</v>
      </c>
      <c r="AF6">
        <f t="shared" ref="AF6:AH54" si="13">LOG(T6/Q6,2)</f>
        <v>-0.15426938647902622</v>
      </c>
      <c r="AG6">
        <f t="shared" si="13"/>
        <v>0.35232057066178679</v>
      </c>
      <c r="AH6">
        <f t="shared" si="13"/>
        <v>0.84996072090430386</v>
      </c>
      <c r="AI6">
        <f t="shared" ref="AI6:AK54" si="14">LOG(W6/Q6,2)</f>
        <v>-7.5227974076631593E-2</v>
      </c>
      <c r="AJ6">
        <f t="shared" si="14"/>
        <v>0.5793694057058828</v>
      </c>
      <c r="AK6">
        <f t="shared" si="14"/>
        <v>0.29686343576570851</v>
      </c>
      <c r="AL6">
        <f t="shared" ref="AL6:AN54" si="15">LOG(Z6/Q6,2)</f>
        <v>0.4629518360702129</v>
      </c>
      <c r="AM6">
        <f t="shared" si="15"/>
        <v>0.61662401708533998</v>
      </c>
      <c r="AN6">
        <f t="shared" si="15"/>
        <v>0.53745908648594121</v>
      </c>
    </row>
    <row r="7" spans="1:40" x14ac:dyDescent="0.3">
      <c r="A7" s="6"/>
      <c r="B7" t="s">
        <v>25</v>
      </c>
      <c r="C7">
        <v>301</v>
      </c>
      <c r="D7">
        <v>346</v>
      </c>
      <c r="E7">
        <v>292</v>
      </c>
      <c r="F7">
        <v>327</v>
      </c>
      <c r="G7">
        <v>336</v>
      </c>
      <c r="H7">
        <v>553</v>
      </c>
      <c r="I7">
        <v>380</v>
      </c>
      <c r="J7">
        <v>297</v>
      </c>
      <c r="K7">
        <v>398</v>
      </c>
      <c r="L7">
        <v>319</v>
      </c>
      <c r="M7">
        <v>198</v>
      </c>
      <c r="N7">
        <v>391</v>
      </c>
      <c r="P7" t="s">
        <v>25</v>
      </c>
      <c r="Q7">
        <f t="shared" si="0"/>
        <v>4.406189158725279E-3</v>
      </c>
      <c r="R7">
        <f t="shared" si="1"/>
        <v>3.8270526164430533E-3</v>
      </c>
      <c r="S7">
        <f t="shared" si="2"/>
        <v>4.0407954278122967E-3</v>
      </c>
      <c r="T7">
        <f t="shared" si="3"/>
        <v>3.6545296050425804E-3</v>
      </c>
      <c r="U7">
        <f t="shared" si="4"/>
        <v>3.9024843494117238E-3</v>
      </c>
      <c r="V7">
        <f t="shared" si="5"/>
        <v>4.4897296419582691E-3</v>
      </c>
      <c r="W7">
        <f t="shared" si="6"/>
        <v>4.0042993529895259E-3</v>
      </c>
      <c r="X7">
        <f t="shared" si="7"/>
        <v>3.7131962242920548E-3</v>
      </c>
      <c r="Y7">
        <f t="shared" si="8"/>
        <v>3.8540496572026183E-3</v>
      </c>
      <c r="Z7">
        <f t="shared" si="9"/>
        <v>4.0746465020628699E-3</v>
      </c>
      <c r="AA7">
        <f t="shared" si="10"/>
        <v>3.4770392483975767E-3</v>
      </c>
      <c r="AB7">
        <f t="shared" si="11"/>
        <v>4.7119787900698961E-3</v>
      </c>
      <c r="AC7" s="10">
        <f t="shared" si="12"/>
        <v>0</v>
      </c>
      <c r="AD7" s="10">
        <f t="shared" si="12"/>
        <v>0</v>
      </c>
      <c r="AE7" s="10">
        <f t="shared" si="12"/>
        <v>0</v>
      </c>
      <c r="AF7">
        <f t="shared" si="13"/>
        <v>-0.26984571082664777</v>
      </c>
      <c r="AG7">
        <f t="shared" si="13"/>
        <v>2.81591102917951E-2</v>
      </c>
      <c r="AH7">
        <f t="shared" si="13"/>
        <v>0.15198925835396107</v>
      </c>
      <c r="AI7">
        <f t="shared" si="14"/>
        <v>-0.13798160055235942</v>
      </c>
      <c r="AJ7">
        <f t="shared" si="14"/>
        <v>-4.3572179518139451E-2</v>
      </c>
      <c r="AK7">
        <f t="shared" si="14"/>
        <v>-6.8264154418088099E-2</v>
      </c>
      <c r="AL7">
        <f t="shared" si="15"/>
        <v>-0.11285652853853152</v>
      </c>
      <c r="AM7">
        <f t="shared" si="15"/>
        <v>-0.13837438399055133</v>
      </c>
      <c r="AN7">
        <f t="shared" si="15"/>
        <v>0.22169373074707013</v>
      </c>
    </row>
    <row r="8" spans="1:40" x14ac:dyDescent="0.3">
      <c r="A8" s="6"/>
      <c r="B8" t="s">
        <v>26</v>
      </c>
      <c r="C8">
        <v>1071</v>
      </c>
      <c r="D8">
        <v>1354</v>
      </c>
      <c r="E8">
        <v>1494</v>
      </c>
      <c r="F8">
        <v>1210</v>
      </c>
      <c r="G8">
        <v>1303</v>
      </c>
      <c r="H8">
        <v>2503</v>
      </c>
      <c r="I8">
        <v>1232</v>
      </c>
      <c r="J8">
        <v>1165</v>
      </c>
      <c r="K8">
        <v>2368</v>
      </c>
      <c r="L8">
        <v>1119</v>
      </c>
      <c r="M8">
        <v>1045</v>
      </c>
      <c r="N8">
        <v>2039</v>
      </c>
      <c r="P8" t="s">
        <v>26</v>
      </c>
      <c r="Q8">
        <f t="shared" si="0"/>
        <v>1.567783584383646E-2</v>
      </c>
      <c r="R8">
        <f t="shared" si="1"/>
        <v>1.4976385094404318E-2</v>
      </c>
      <c r="S8">
        <f t="shared" si="2"/>
        <v>2.0674480716272505E-2</v>
      </c>
      <c r="T8">
        <f t="shared" si="3"/>
        <v>1.3522877131808936E-2</v>
      </c>
      <c r="U8">
        <f t="shared" si="4"/>
        <v>1.5133741390724631E-2</v>
      </c>
      <c r="V8">
        <f t="shared" si="5"/>
        <v>2.0321506860436794E-2</v>
      </c>
      <c r="W8">
        <f t="shared" si="6"/>
        <v>1.2982360007587094E-2</v>
      </c>
      <c r="X8">
        <f t="shared" si="7"/>
        <v>1.4565230980808901E-2</v>
      </c>
      <c r="Y8">
        <f t="shared" si="8"/>
        <v>2.2930627106170352E-2</v>
      </c>
      <c r="Z8">
        <f t="shared" si="9"/>
        <v>1.429319572353715E-2</v>
      </c>
      <c r="AA8">
        <f t="shared" si="10"/>
        <v>1.8351040477653877E-2</v>
      </c>
      <c r="AB8">
        <f t="shared" si="11"/>
        <v>2.4572186068932272E-2</v>
      </c>
      <c r="AC8" s="10">
        <f t="shared" si="12"/>
        <v>0</v>
      </c>
      <c r="AD8" s="10">
        <f t="shared" si="12"/>
        <v>0</v>
      </c>
      <c r="AE8" s="10">
        <f t="shared" si="12"/>
        <v>0</v>
      </c>
      <c r="AF8">
        <f t="shared" si="13"/>
        <v>-0.21332429215332738</v>
      </c>
      <c r="AG8">
        <f t="shared" si="13"/>
        <v>1.5079260142897179E-2</v>
      </c>
      <c r="AH8">
        <f t="shared" si="13"/>
        <v>-2.4843710101634022E-2</v>
      </c>
      <c r="AI8">
        <f t="shared" si="14"/>
        <v>-0.27217375617896</v>
      </c>
      <c r="AJ8">
        <f t="shared" si="14"/>
        <v>-4.016085671553473E-2</v>
      </c>
      <c r="AK8">
        <f t="shared" si="14"/>
        <v>0.14942471675799279</v>
      </c>
      <c r="AL8">
        <f t="shared" si="15"/>
        <v>-0.13339790931756104</v>
      </c>
      <c r="AM8">
        <f t="shared" si="15"/>
        <v>0.29317242695981216</v>
      </c>
      <c r="AN8">
        <f t="shared" si="15"/>
        <v>0.24917511954709451</v>
      </c>
    </row>
    <row r="9" spans="1:40" x14ac:dyDescent="0.3">
      <c r="A9" s="6"/>
      <c r="B9" t="s">
        <v>27</v>
      </c>
      <c r="C9">
        <v>1138.3699999999999</v>
      </c>
      <c r="D9">
        <v>1604.26</v>
      </c>
      <c r="E9">
        <v>769.38</v>
      </c>
      <c r="F9">
        <v>1712.39</v>
      </c>
      <c r="G9">
        <v>1425.28</v>
      </c>
      <c r="H9">
        <v>1574</v>
      </c>
      <c r="I9">
        <v>1739.52</v>
      </c>
      <c r="J9">
        <v>1351.36</v>
      </c>
      <c r="K9">
        <v>1351.08</v>
      </c>
      <c r="L9">
        <v>1317.21</v>
      </c>
      <c r="M9">
        <v>809.55</v>
      </c>
      <c r="N9">
        <v>1133.3399999999999</v>
      </c>
      <c r="P9" t="s">
        <v>27</v>
      </c>
      <c r="Q9">
        <f t="shared" si="0"/>
        <v>1.6664031736272743E-2</v>
      </c>
      <c r="R9">
        <f t="shared" si="1"/>
        <v>1.7744472342355298E-2</v>
      </c>
      <c r="S9">
        <f t="shared" si="2"/>
        <v>1.0646942418665154E-2</v>
      </c>
      <c r="T9">
        <f t="shared" si="3"/>
        <v>1.913755336507298E-2</v>
      </c>
      <c r="U9">
        <f t="shared" si="4"/>
        <v>1.6553966945028396E-2</v>
      </c>
      <c r="V9">
        <f t="shared" si="5"/>
        <v>1.2779085816351385E-2</v>
      </c>
      <c r="W9">
        <f t="shared" si="6"/>
        <v>1.8330417922400893E-2</v>
      </c>
      <c r="X9">
        <f t="shared" si="7"/>
        <v>1.6895167843970743E-2</v>
      </c>
      <c r="Y9">
        <f t="shared" si="8"/>
        <v>1.3083239725762094E-2</v>
      </c>
      <c r="Z9">
        <f t="shared" si="9"/>
        <v>1.6824969025022674E-2</v>
      </c>
      <c r="AA9">
        <f t="shared" si="10"/>
        <v>1.4216349108789182E-2</v>
      </c>
      <c r="AB9">
        <f t="shared" si="11"/>
        <v>1.3657989877078813E-2</v>
      </c>
      <c r="AC9" s="10">
        <f t="shared" si="12"/>
        <v>0</v>
      </c>
      <c r="AD9" s="10">
        <f t="shared" si="12"/>
        <v>0</v>
      </c>
      <c r="AE9" s="10">
        <f t="shared" si="12"/>
        <v>0</v>
      </c>
      <c r="AF9">
        <f t="shared" si="13"/>
        <v>0.19966890861220962</v>
      </c>
      <c r="AG9">
        <f t="shared" si="13"/>
        <v>-0.10019269265181267</v>
      </c>
      <c r="AH9">
        <f t="shared" si="13"/>
        <v>0.26334545540559273</v>
      </c>
      <c r="AI9">
        <f t="shared" si="14"/>
        <v>0.13750218674990078</v>
      </c>
      <c r="AJ9">
        <f t="shared" si="14"/>
        <v>-7.0758991470240368E-2</v>
      </c>
      <c r="AK9">
        <f t="shared" si="14"/>
        <v>0.29728065337167864</v>
      </c>
      <c r="AL9">
        <f t="shared" si="15"/>
        <v>1.3866356744522641E-2</v>
      </c>
      <c r="AM9">
        <f t="shared" si="15"/>
        <v>-0.31981865944164134</v>
      </c>
      <c r="AN9">
        <f t="shared" si="15"/>
        <v>0.35930599193893475</v>
      </c>
    </row>
    <row r="10" spans="1:40" x14ac:dyDescent="0.3">
      <c r="A10" s="6"/>
      <c r="B10" t="s">
        <v>28</v>
      </c>
      <c r="C10">
        <v>329</v>
      </c>
      <c r="D10">
        <v>610</v>
      </c>
      <c r="E10">
        <v>521</v>
      </c>
      <c r="F10">
        <v>298</v>
      </c>
      <c r="G10">
        <v>522</v>
      </c>
      <c r="H10">
        <v>1029</v>
      </c>
      <c r="I10">
        <v>318</v>
      </c>
      <c r="J10">
        <v>462</v>
      </c>
      <c r="K10">
        <v>790</v>
      </c>
      <c r="L10">
        <v>312</v>
      </c>
      <c r="M10">
        <v>289</v>
      </c>
      <c r="N10">
        <v>596</v>
      </c>
      <c r="P10" t="s">
        <v>28</v>
      </c>
      <c r="Q10">
        <f t="shared" si="0"/>
        <v>4.816067220002049E-3</v>
      </c>
      <c r="R10">
        <f t="shared" si="1"/>
        <v>6.7471158844805276E-3</v>
      </c>
      <c r="S10">
        <f t="shared" si="2"/>
        <v>7.2097754037335846E-3</v>
      </c>
      <c r="T10">
        <f t="shared" si="3"/>
        <v>3.3304275911397213E-3</v>
      </c>
      <c r="U10">
        <f t="shared" si="4"/>
        <v>6.0627881856932138E-3</v>
      </c>
      <c r="V10">
        <f t="shared" si="5"/>
        <v>8.354307055289438E-3</v>
      </c>
      <c r="W10">
        <f t="shared" si="6"/>
        <v>3.3509663006596555E-3</v>
      </c>
      <c r="X10">
        <f t="shared" si="7"/>
        <v>5.7760830155654183E-3</v>
      </c>
      <c r="Y10">
        <f t="shared" si="8"/>
        <v>7.6499980632916296E-3</v>
      </c>
      <c r="Z10">
        <f t="shared" si="9"/>
        <v>3.9852341963749699E-3</v>
      </c>
      <c r="AA10">
        <f t="shared" si="10"/>
        <v>5.0750724383176746E-3</v>
      </c>
      <c r="AB10">
        <f t="shared" si="11"/>
        <v>7.1824536032778982E-3</v>
      </c>
      <c r="AC10" s="10">
        <f t="shared" si="12"/>
        <v>0</v>
      </c>
      <c r="AD10" s="10">
        <f t="shared" si="12"/>
        <v>0</v>
      </c>
      <c r="AE10" s="10">
        <f t="shared" si="12"/>
        <v>0</v>
      </c>
      <c r="AF10">
        <f t="shared" si="13"/>
        <v>-0.53214811283810803</v>
      </c>
      <c r="AG10">
        <f t="shared" si="13"/>
        <v>-0.15428952073060456</v>
      </c>
      <c r="AH10">
        <f t="shared" si="13"/>
        <v>0.21256585161473154</v>
      </c>
      <c r="AI10">
        <f t="shared" si="14"/>
        <v>-0.52327835057449157</v>
      </c>
      <c r="AJ10">
        <f t="shared" si="14"/>
        <v>-0.22417946371637179</v>
      </c>
      <c r="AK10">
        <f t="shared" si="14"/>
        <v>8.5505064704237133E-2</v>
      </c>
      <c r="AL10">
        <f t="shared" si="15"/>
        <v>-0.27319102041669197</v>
      </c>
      <c r="AM10">
        <f t="shared" si="15"/>
        <v>-0.41084252638300633</v>
      </c>
      <c r="AN10">
        <f t="shared" si="15"/>
        <v>-5.4775494966116996E-3</v>
      </c>
    </row>
    <row r="11" spans="1:40" x14ac:dyDescent="0.3">
      <c r="A11" s="6"/>
      <c r="B11" t="s">
        <v>29</v>
      </c>
      <c r="C11">
        <v>3</v>
      </c>
      <c r="D11">
        <v>13</v>
      </c>
      <c r="E11">
        <v>75</v>
      </c>
      <c r="F11">
        <v>15</v>
      </c>
      <c r="G11">
        <v>16</v>
      </c>
      <c r="H11">
        <v>149</v>
      </c>
      <c r="I11">
        <v>8</v>
      </c>
      <c r="J11">
        <v>10</v>
      </c>
      <c r="K11">
        <v>125</v>
      </c>
      <c r="L11">
        <v>13</v>
      </c>
      <c r="M11">
        <v>5</v>
      </c>
      <c r="N11">
        <v>75</v>
      </c>
      <c r="P11" t="s">
        <v>29</v>
      </c>
      <c r="Q11">
        <f t="shared" si="0"/>
        <v>4.3915506565368234E-5</v>
      </c>
      <c r="R11">
        <f t="shared" si="1"/>
        <v>1.4379099425942108E-4</v>
      </c>
      <c r="S11">
        <f t="shared" si="2"/>
        <v>1.0378755379654872E-3</v>
      </c>
      <c r="T11">
        <f t="shared" si="3"/>
        <v>1.6763897270837526E-4</v>
      </c>
      <c r="U11">
        <f t="shared" si="4"/>
        <v>1.8583258806722494E-4</v>
      </c>
      <c r="V11">
        <f t="shared" si="5"/>
        <v>1.2097101566940001E-3</v>
      </c>
      <c r="W11">
        <f t="shared" si="6"/>
        <v>8.4301039010305801E-5</v>
      </c>
      <c r="X11">
        <f t="shared" si="7"/>
        <v>1.2502344189535539E-4</v>
      </c>
      <c r="Y11">
        <f t="shared" si="8"/>
        <v>1.2104427315334856E-3</v>
      </c>
      <c r="Z11">
        <f t="shared" si="9"/>
        <v>1.6605142484895708E-4</v>
      </c>
      <c r="AA11">
        <f t="shared" si="10"/>
        <v>8.7804021424181224E-5</v>
      </c>
      <c r="AB11">
        <f t="shared" si="11"/>
        <v>9.0383224873463481E-4</v>
      </c>
      <c r="AC11" s="10">
        <f t="shared" si="12"/>
        <v>0</v>
      </c>
      <c r="AD11" s="10">
        <f t="shared" si="12"/>
        <v>0</v>
      </c>
      <c r="AE11" s="10">
        <f t="shared" si="12"/>
        <v>0</v>
      </c>
      <c r="AF11">
        <f t="shared" si="13"/>
        <v>1.9325552353223343</v>
      </c>
      <c r="AG11">
        <f t="shared" si="13"/>
        <v>0.37003019700866735</v>
      </c>
      <c r="AH11">
        <f t="shared" si="13"/>
        <v>0.22102797696555188</v>
      </c>
      <c r="AI11">
        <f t="shared" si="14"/>
        <v>0.9408199671552383</v>
      </c>
      <c r="AJ11">
        <f t="shared" si="14"/>
        <v>-0.20177469593591035</v>
      </c>
      <c r="AK11">
        <f t="shared" si="14"/>
        <v>0.22190137808448637</v>
      </c>
      <c r="AL11">
        <f t="shared" si="15"/>
        <v>1.9188277518762371</v>
      </c>
      <c r="AM11">
        <f t="shared" si="15"/>
        <v>-0.71161439968716633</v>
      </c>
      <c r="AN11">
        <f t="shared" si="15"/>
        <v>-0.19950650768026498</v>
      </c>
    </row>
    <row r="12" spans="1:40" x14ac:dyDescent="0.3">
      <c r="A12" s="6"/>
      <c r="B12" t="s">
        <v>30</v>
      </c>
      <c r="C12">
        <v>9467.0499999999993</v>
      </c>
      <c r="D12">
        <v>10861.52</v>
      </c>
      <c r="E12">
        <v>9123</v>
      </c>
      <c r="F12">
        <v>10746.06</v>
      </c>
      <c r="G12">
        <v>10572.83</v>
      </c>
      <c r="H12">
        <v>13437</v>
      </c>
      <c r="I12">
        <v>11389.9</v>
      </c>
      <c r="J12">
        <v>9906.9699999999993</v>
      </c>
      <c r="K12">
        <v>11351.72</v>
      </c>
      <c r="L12">
        <v>9554.0499999999993</v>
      </c>
      <c r="M12">
        <v>7159.97</v>
      </c>
      <c r="N12">
        <v>8950.94</v>
      </c>
      <c r="P12" t="s">
        <v>30</v>
      </c>
      <c r="Q12">
        <f t="shared" si="0"/>
        <v>0.13858343214322311</v>
      </c>
      <c r="R12">
        <f t="shared" si="1"/>
        <v>0.12013759692066056</v>
      </c>
      <c r="S12">
        <f t="shared" si="2"/>
        <v>0.12624718043812186</v>
      </c>
      <c r="T12">
        <f t="shared" si="3"/>
        <v>0.12009723060417085</v>
      </c>
      <c r="U12">
        <f t="shared" si="4"/>
        <v>0.12279852263092486</v>
      </c>
      <c r="V12">
        <f t="shared" si="5"/>
        <v>0.1090931233254851</v>
      </c>
      <c r="W12">
        <f t="shared" si="6"/>
        <v>0.12002255052793526</v>
      </c>
      <c r="X12">
        <f t="shared" si="7"/>
        <v>0.12386034881540288</v>
      </c>
      <c r="Y12">
        <f t="shared" si="8"/>
        <v>0.10992485571522639</v>
      </c>
      <c r="Z12">
        <f t="shared" si="9"/>
        <v>0.12203566273678293</v>
      </c>
      <c r="AA12">
        <f t="shared" si="10"/>
        <v>0.12573483185529899</v>
      </c>
      <c r="AB12">
        <f t="shared" si="11"/>
        <v>0.10786864304651723</v>
      </c>
      <c r="AC12" s="10">
        <f t="shared" si="12"/>
        <v>0</v>
      </c>
      <c r="AD12" s="10">
        <f t="shared" si="12"/>
        <v>0</v>
      </c>
      <c r="AE12" s="10">
        <f t="shared" si="12"/>
        <v>0</v>
      </c>
      <c r="AF12">
        <f t="shared" si="13"/>
        <v>-0.20655190799654158</v>
      </c>
      <c r="AG12">
        <f t="shared" si="13"/>
        <v>3.1605492549693352E-2</v>
      </c>
      <c r="AH12">
        <f t="shared" si="13"/>
        <v>-0.21069100317582903</v>
      </c>
      <c r="AI12">
        <f t="shared" si="14"/>
        <v>-0.20744929827904296</v>
      </c>
      <c r="AJ12">
        <f t="shared" si="14"/>
        <v>4.4026702657115009E-2</v>
      </c>
      <c r="AK12">
        <f t="shared" si="14"/>
        <v>-0.19973352865625793</v>
      </c>
      <c r="AL12">
        <f t="shared" si="15"/>
        <v>-0.18345198024224191</v>
      </c>
      <c r="AM12">
        <f t="shared" si="15"/>
        <v>6.5696658164040189E-2</v>
      </c>
      <c r="AN12">
        <f t="shared" si="15"/>
        <v>-0.22697562707173144</v>
      </c>
    </row>
    <row r="13" spans="1:40" x14ac:dyDescent="0.3">
      <c r="A13" s="6"/>
      <c r="B13" t="s">
        <v>31</v>
      </c>
      <c r="C13">
        <v>2287</v>
      </c>
      <c r="D13">
        <v>2794</v>
      </c>
      <c r="E13">
        <v>2975</v>
      </c>
      <c r="F13">
        <v>2660</v>
      </c>
      <c r="G13">
        <v>2669</v>
      </c>
      <c r="H13">
        <v>4381</v>
      </c>
      <c r="I13">
        <v>2680</v>
      </c>
      <c r="J13">
        <v>2428</v>
      </c>
      <c r="K13">
        <v>3543</v>
      </c>
      <c r="L13">
        <v>2510</v>
      </c>
      <c r="M13">
        <v>1978</v>
      </c>
      <c r="N13">
        <v>2708</v>
      </c>
      <c r="P13" t="s">
        <v>31</v>
      </c>
      <c r="Q13">
        <f t="shared" si="0"/>
        <v>3.3478254504999048E-2</v>
      </c>
      <c r="R13">
        <f t="shared" si="1"/>
        <v>3.0904002920063268E-2</v>
      </c>
      <c r="S13">
        <f t="shared" si="2"/>
        <v>4.1169063005964325E-2</v>
      </c>
      <c r="T13">
        <f t="shared" si="3"/>
        <v>2.9727977826951878E-2</v>
      </c>
      <c r="U13">
        <f t="shared" si="4"/>
        <v>3.099919859696396E-2</v>
      </c>
      <c r="V13">
        <f t="shared" si="5"/>
        <v>3.5568726150848419E-2</v>
      </c>
      <c r="W13">
        <f t="shared" si="6"/>
        <v>2.8240848068452444E-2</v>
      </c>
      <c r="X13">
        <f t="shared" si="7"/>
        <v>3.0355691692192287E-2</v>
      </c>
      <c r="Y13">
        <f t="shared" si="8"/>
        <v>3.4308788782585121E-2</v>
      </c>
      <c r="Z13">
        <f t="shared" si="9"/>
        <v>3.2060698182375558E-2</v>
      </c>
      <c r="AA13">
        <f t="shared" si="10"/>
        <v>3.4735270875406093E-2</v>
      </c>
      <c r="AB13">
        <f t="shared" si="11"/>
        <v>3.2634369727645218E-2</v>
      </c>
      <c r="AC13" s="10">
        <f t="shared" si="12"/>
        <v>0</v>
      </c>
      <c r="AD13" s="10">
        <f t="shared" si="12"/>
        <v>0</v>
      </c>
      <c r="AE13" s="10">
        <f t="shared" si="12"/>
        <v>0</v>
      </c>
      <c r="AF13">
        <f t="shared" si="13"/>
        <v>-0.17140297958814876</v>
      </c>
      <c r="AG13">
        <f t="shared" si="13"/>
        <v>4.4371998822626234E-3</v>
      </c>
      <c r="AH13">
        <f t="shared" si="13"/>
        <v>-0.21095130676044632</v>
      </c>
      <c r="AI13">
        <f t="shared" si="14"/>
        <v>-0.24544089719014311</v>
      </c>
      <c r="AJ13">
        <f t="shared" si="14"/>
        <v>-2.5826671835961726E-2</v>
      </c>
      <c r="AK13">
        <f t="shared" si="14"/>
        <v>-0.26298241904607439</v>
      </c>
      <c r="AL13">
        <f t="shared" si="15"/>
        <v>-6.2418467117237204E-2</v>
      </c>
      <c r="AM13">
        <f t="shared" si="15"/>
        <v>0.16860762891621126</v>
      </c>
      <c r="AN13">
        <f t="shared" si="15"/>
        <v>-0.33516843718793632</v>
      </c>
    </row>
    <row r="14" spans="1:40" x14ac:dyDescent="0.3">
      <c r="A14" s="6"/>
      <c r="B14" t="s">
        <v>32</v>
      </c>
      <c r="C14">
        <v>8978</v>
      </c>
      <c r="D14">
        <v>9014</v>
      </c>
      <c r="E14">
        <v>7526</v>
      </c>
      <c r="F14">
        <v>10636</v>
      </c>
      <c r="G14">
        <v>9046</v>
      </c>
      <c r="H14">
        <v>10346</v>
      </c>
      <c r="I14">
        <v>10575</v>
      </c>
      <c r="J14">
        <v>8586</v>
      </c>
      <c r="K14">
        <v>8846</v>
      </c>
      <c r="L14">
        <v>9355</v>
      </c>
      <c r="M14">
        <v>6203</v>
      </c>
      <c r="N14">
        <v>7334</v>
      </c>
      <c r="P14" t="s">
        <v>32</v>
      </c>
      <c r="Q14">
        <f t="shared" si="0"/>
        <v>0.13142447264795867</v>
      </c>
      <c r="R14">
        <f t="shared" si="1"/>
        <v>9.9702463250340115E-2</v>
      </c>
      <c r="S14">
        <f t="shared" si="2"/>
        <v>0.10414735064971009</v>
      </c>
      <c r="T14">
        <f t="shared" si="3"/>
        <v>0.11886720758175194</v>
      </c>
      <c r="U14">
        <f t="shared" si="4"/>
        <v>0.1050650994785073</v>
      </c>
      <c r="V14">
        <f t="shared" si="5"/>
        <v>8.3997726719168622E-2</v>
      </c>
      <c r="W14">
        <f t="shared" si="6"/>
        <v>0.11143543594174798</v>
      </c>
      <c r="X14">
        <f t="shared" si="7"/>
        <v>0.10734512721135213</v>
      </c>
      <c r="Y14">
        <f t="shared" si="8"/>
        <v>8.566061122516172E-2</v>
      </c>
      <c r="Z14">
        <f t="shared" si="9"/>
        <v>0.11949315995861487</v>
      </c>
      <c r="AA14">
        <f t="shared" si="10"/>
        <v>0.10892966897883923</v>
      </c>
      <c r="AB14">
        <f t="shared" si="11"/>
        <v>8.8382742829597488E-2</v>
      </c>
      <c r="AC14" s="10">
        <f t="shared" si="12"/>
        <v>0</v>
      </c>
      <c r="AD14" s="10">
        <f t="shared" si="12"/>
        <v>0</v>
      </c>
      <c r="AE14" s="10">
        <f t="shared" si="12"/>
        <v>0</v>
      </c>
      <c r="AF14">
        <f t="shared" si="13"/>
        <v>-0.14488317862290559</v>
      </c>
      <c r="AG14">
        <f t="shared" si="13"/>
        <v>7.5582461065811943E-2</v>
      </c>
      <c r="AH14">
        <f t="shared" si="13"/>
        <v>-0.31020395086485497</v>
      </c>
      <c r="AI14">
        <f t="shared" si="14"/>
        <v>-0.23802587014447585</v>
      </c>
      <c r="AJ14">
        <f t="shared" si="14"/>
        <v>0.10655565005028431</v>
      </c>
      <c r="AK14">
        <f t="shared" si="14"/>
        <v>-0.28192226325094755</v>
      </c>
      <c r="AL14">
        <f t="shared" si="15"/>
        <v>-0.13730590833109754</v>
      </c>
      <c r="AM14">
        <f t="shared" si="15"/>
        <v>0.12769589842295875</v>
      </c>
      <c r="AN14">
        <f t="shared" si="15"/>
        <v>-0.23678953103648046</v>
      </c>
    </row>
    <row r="15" spans="1:40" x14ac:dyDescent="0.3">
      <c r="A15" s="6"/>
      <c r="B15" t="s">
        <v>33</v>
      </c>
      <c r="C15">
        <v>440</v>
      </c>
      <c r="D15">
        <v>135</v>
      </c>
      <c r="E15">
        <v>126</v>
      </c>
      <c r="F15">
        <v>607</v>
      </c>
      <c r="G15">
        <v>219</v>
      </c>
      <c r="H15">
        <v>159</v>
      </c>
      <c r="I15">
        <v>569</v>
      </c>
      <c r="J15">
        <v>213</v>
      </c>
      <c r="K15">
        <v>129</v>
      </c>
      <c r="L15">
        <v>321</v>
      </c>
      <c r="M15">
        <v>84</v>
      </c>
      <c r="N15">
        <v>162</v>
      </c>
      <c r="P15" t="s">
        <v>33</v>
      </c>
      <c r="Q15">
        <f t="shared" si="0"/>
        <v>6.4409409629206738E-3</v>
      </c>
      <c r="R15">
        <f t="shared" si="1"/>
        <v>1.4932141711555265E-3</v>
      </c>
      <c r="S15">
        <f t="shared" si="2"/>
        <v>1.7436309037820185E-3</v>
      </c>
      <c r="T15">
        <f t="shared" si="3"/>
        <v>6.7837904289322513E-3</v>
      </c>
      <c r="U15">
        <f t="shared" si="4"/>
        <v>2.5435835491701415E-3</v>
      </c>
      <c r="V15">
        <f t="shared" si="5"/>
        <v>1.2908987578144028E-3</v>
      </c>
      <c r="W15">
        <f t="shared" si="6"/>
        <v>5.9959113996079999E-3</v>
      </c>
      <c r="X15">
        <f t="shared" si="7"/>
        <v>2.6629993123710696E-3</v>
      </c>
      <c r="Y15">
        <f t="shared" si="8"/>
        <v>1.2491768989425572E-3</v>
      </c>
      <c r="Z15">
        <f t="shared" si="9"/>
        <v>4.1001928751165555E-3</v>
      </c>
      <c r="AA15">
        <f t="shared" si="10"/>
        <v>1.4751075599262447E-3</v>
      </c>
      <c r="AB15">
        <f t="shared" si="11"/>
        <v>1.9522776572668114E-3</v>
      </c>
      <c r="AC15" s="10">
        <f t="shared" si="12"/>
        <v>0</v>
      </c>
      <c r="AD15" s="10">
        <f t="shared" si="12"/>
        <v>0</v>
      </c>
      <c r="AE15" s="10">
        <f t="shared" si="12"/>
        <v>0</v>
      </c>
      <c r="AF15">
        <f t="shared" si="13"/>
        <v>7.4820133165994257E-2</v>
      </c>
      <c r="AG15">
        <f t="shared" si="13"/>
        <v>0.76844137770010223</v>
      </c>
      <c r="AH15">
        <f t="shared" si="13"/>
        <v>-0.43371882121629002</v>
      </c>
      <c r="AI15">
        <f t="shared" si="14"/>
        <v>-0.10329240334168301</v>
      </c>
      <c r="AJ15">
        <f t="shared" si="14"/>
        <v>0.83463095049282698</v>
      </c>
      <c r="AK15">
        <f t="shared" si="14"/>
        <v>-0.48111688415838233</v>
      </c>
      <c r="AL15">
        <f t="shared" si="15"/>
        <v>-0.65157969194605536</v>
      </c>
      <c r="AM15">
        <f t="shared" si="15"/>
        <v>-1.7600950705506796E-2</v>
      </c>
      <c r="AN15">
        <f t="shared" si="15"/>
        <v>0.16306357170444349</v>
      </c>
    </row>
    <row r="16" spans="1:40" x14ac:dyDescent="0.3">
      <c r="A16" s="6"/>
      <c r="B16" t="s">
        <v>34</v>
      </c>
      <c r="C16">
        <v>271</v>
      </c>
      <c r="D16">
        <v>129</v>
      </c>
      <c r="E16">
        <v>23</v>
      </c>
      <c r="F16">
        <v>274</v>
      </c>
      <c r="G16">
        <v>207</v>
      </c>
      <c r="H16">
        <v>66</v>
      </c>
      <c r="I16">
        <v>291</v>
      </c>
      <c r="J16">
        <v>235</v>
      </c>
      <c r="K16">
        <v>45</v>
      </c>
      <c r="L16">
        <v>239</v>
      </c>
      <c r="M16">
        <v>135</v>
      </c>
      <c r="N16">
        <v>42</v>
      </c>
      <c r="P16" t="s">
        <v>34</v>
      </c>
      <c r="Q16">
        <f t="shared" si="0"/>
        <v>3.9670340930715968E-3</v>
      </c>
      <c r="R16">
        <f t="shared" si="1"/>
        <v>1.4268490968819476E-3</v>
      </c>
      <c r="S16">
        <f t="shared" si="2"/>
        <v>3.1828183164274941E-4</v>
      </c>
      <c r="T16">
        <f t="shared" si="3"/>
        <v>3.0622052348063212E-3</v>
      </c>
      <c r="U16">
        <f t="shared" si="4"/>
        <v>2.4042091081197228E-3</v>
      </c>
      <c r="V16">
        <f t="shared" si="5"/>
        <v>5.3584476739465775E-4</v>
      </c>
      <c r="W16">
        <f t="shared" si="6"/>
        <v>3.0664502939998736E-3</v>
      </c>
      <c r="X16">
        <f t="shared" si="7"/>
        <v>2.9380508845408514E-3</v>
      </c>
      <c r="Y16">
        <f t="shared" si="8"/>
        <v>4.3575938335205483E-4</v>
      </c>
      <c r="Z16">
        <f t="shared" si="9"/>
        <v>3.0527915799154416E-3</v>
      </c>
      <c r="AA16">
        <f t="shared" si="10"/>
        <v>2.3707085784528932E-3</v>
      </c>
      <c r="AB16">
        <f t="shared" si="11"/>
        <v>5.0614605929139554E-4</v>
      </c>
      <c r="AC16" s="10">
        <f t="shared" si="12"/>
        <v>0</v>
      </c>
      <c r="AD16" s="10">
        <f t="shared" si="12"/>
        <v>0</v>
      </c>
      <c r="AE16" s="10">
        <f t="shared" si="12"/>
        <v>0</v>
      </c>
      <c r="AF16">
        <f t="shared" si="13"/>
        <v>-0.37348981795837288</v>
      </c>
      <c r="AG16">
        <f t="shared" si="13"/>
        <v>0.75272961722583087</v>
      </c>
      <c r="AH16">
        <f t="shared" si="13"/>
        <v>0.75151031030071191</v>
      </c>
      <c r="AI16">
        <f t="shared" si="14"/>
        <v>-0.37149123056919314</v>
      </c>
      <c r="AJ16">
        <f t="shared" si="14"/>
        <v>1.042026618459565</v>
      </c>
      <c r="AK16">
        <f t="shared" si="14"/>
        <v>0.45322692419094213</v>
      </c>
      <c r="AL16">
        <f t="shared" si="15"/>
        <v>-0.37793169891682188</v>
      </c>
      <c r="AM16">
        <f t="shared" si="15"/>
        <v>0.73248556519414065</v>
      </c>
      <c r="AN16">
        <f t="shared" si="15"/>
        <v>0.66924895904148252</v>
      </c>
    </row>
    <row r="17" spans="1:40" x14ac:dyDescent="0.3">
      <c r="A17" s="6"/>
      <c r="B17" t="s">
        <v>35</v>
      </c>
      <c r="C17">
        <v>457</v>
      </c>
      <c r="D17">
        <v>950</v>
      </c>
      <c r="E17">
        <v>708</v>
      </c>
      <c r="F17">
        <v>462</v>
      </c>
      <c r="G17">
        <v>800</v>
      </c>
      <c r="H17">
        <v>1087</v>
      </c>
      <c r="I17">
        <v>469</v>
      </c>
      <c r="J17">
        <v>737</v>
      </c>
      <c r="K17">
        <v>889</v>
      </c>
      <c r="L17">
        <v>543</v>
      </c>
      <c r="M17">
        <v>541</v>
      </c>
      <c r="N17">
        <v>676</v>
      </c>
      <c r="P17" t="s">
        <v>35</v>
      </c>
      <c r="Q17">
        <f t="shared" si="0"/>
        <v>6.6897955001244272E-3</v>
      </c>
      <c r="R17">
        <f t="shared" si="1"/>
        <v>1.0507803426650001E-2</v>
      </c>
      <c r="S17">
        <f t="shared" si="2"/>
        <v>9.7975450783941986E-3</v>
      </c>
      <c r="T17">
        <f t="shared" si="3"/>
        <v>5.1632803594179573E-3</v>
      </c>
      <c r="U17">
        <f t="shared" si="4"/>
        <v>9.2916294033612463E-3</v>
      </c>
      <c r="V17">
        <f t="shared" si="5"/>
        <v>8.8252009417877728E-3</v>
      </c>
      <c r="W17">
        <f t="shared" si="6"/>
        <v>4.9421484119791777E-3</v>
      </c>
      <c r="X17">
        <f t="shared" si="7"/>
        <v>9.2142276676876918E-3</v>
      </c>
      <c r="Y17">
        <f t="shared" si="8"/>
        <v>8.6086687066661508E-3</v>
      </c>
      <c r="Z17">
        <f t="shared" si="9"/>
        <v>6.9358402840756688E-3</v>
      </c>
      <c r="AA17">
        <f t="shared" si="10"/>
        <v>9.5003951180964094E-3</v>
      </c>
      <c r="AB17">
        <f t="shared" si="11"/>
        <v>8.146541335261508E-3</v>
      </c>
      <c r="AC17" s="10">
        <f t="shared" si="12"/>
        <v>0</v>
      </c>
      <c r="AD17" s="10">
        <f t="shared" si="12"/>
        <v>0</v>
      </c>
      <c r="AE17" s="10">
        <f t="shared" si="12"/>
        <v>0</v>
      </c>
      <c r="AF17">
        <f t="shared" si="13"/>
        <v>-0.37367417320704055</v>
      </c>
      <c r="AG17">
        <f t="shared" si="13"/>
        <v>-0.1774575982938261</v>
      </c>
      <c r="AH17">
        <f t="shared" si="13"/>
        <v>-0.15079117805641681</v>
      </c>
      <c r="AI17">
        <f t="shared" si="14"/>
        <v>-0.43682377466629851</v>
      </c>
      <c r="AJ17">
        <f t="shared" si="14"/>
        <v>-0.18952596680542111</v>
      </c>
      <c r="AK17">
        <f t="shared" si="14"/>
        <v>-0.18663015733494712</v>
      </c>
      <c r="AL17">
        <f t="shared" si="15"/>
        <v>5.2108567202593069E-2</v>
      </c>
      <c r="AM17">
        <f t="shared" si="15"/>
        <v>-0.14540169582493115</v>
      </c>
      <c r="AN17">
        <f t="shared" si="15"/>
        <v>-0.26623262148107818</v>
      </c>
    </row>
    <row r="18" spans="1:40" x14ac:dyDescent="0.3">
      <c r="A18" s="6"/>
      <c r="B18" t="s">
        <v>36</v>
      </c>
      <c r="C18">
        <v>1837</v>
      </c>
      <c r="D18">
        <v>1526</v>
      </c>
      <c r="E18">
        <v>1184</v>
      </c>
      <c r="F18">
        <v>2260</v>
      </c>
      <c r="G18">
        <v>1956</v>
      </c>
      <c r="H18">
        <v>1395</v>
      </c>
      <c r="I18">
        <v>2271</v>
      </c>
      <c r="J18">
        <v>1927</v>
      </c>
      <c r="K18">
        <v>1003</v>
      </c>
      <c r="L18">
        <v>1902</v>
      </c>
      <c r="M18">
        <v>1251</v>
      </c>
      <c r="N18">
        <v>927</v>
      </c>
      <c r="P18" t="s">
        <v>36</v>
      </c>
      <c r="Q18">
        <f t="shared" si="0"/>
        <v>2.6890928520193813E-2</v>
      </c>
      <c r="R18">
        <f t="shared" si="1"/>
        <v>1.6878850556913582E-2</v>
      </c>
      <c r="S18">
        <f t="shared" si="2"/>
        <v>1.6384595159348491E-2</v>
      </c>
      <c r="T18">
        <f t="shared" si="3"/>
        <v>2.5257605221395203E-2</v>
      </c>
      <c r="U18">
        <f t="shared" si="4"/>
        <v>2.2718033891218247E-2</v>
      </c>
      <c r="V18">
        <f t="shared" si="5"/>
        <v>1.1325809856296176E-2</v>
      </c>
      <c r="W18">
        <f t="shared" si="6"/>
        <v>2.393095744905056E-2</v>
      </c>
      <c r="X18">
        <f t="shared" si="7"/>
        <v>2.4092017253234982E-2</v>
      </c>
      <c r="Y18">
        <f t="shared" si="8"/>
        <v>9.7125924778246886E-3</v>
      </c>
      <c r="Z18">
        <f t="shared" si="9"/>
        <v>2.4294600774055104E-2</v>
      </c>
      <c r="AA18">
        <f t="shared" si="10"/>
        <v>2.1968566160330143E-2</v>
      </c>
      <c r="AB18">
        <f t="shared" si="11"/>
        <v>1.1171366594360087E-2</v>
      </c>
      <c r="AC18" s="10">
        <f t="shared" si="12"/>
        <v>0</v>
      </c>
      <c r="AD18" s="10">
        <f t="shared" si="12"/>
        <v>0</v>
      </c>
      <c r="AE18" s="10">
        <f t="shared" si="12"/>
        <v>0</v>
      </c>
      <c r="AF18">
        <f t="shared" si="13"/>
        <v>-9.0401713373827644E-2</v>
      </c>
      <c r="AG18">
        <f t="shared" si="13"/>
        <v>0.42862132326746255</v>
      </c>
      <c r="AH18">
        <f t="shared" si="13"/>
        <v>-0.53272581191312862</v>
      </c>
      <c r="AI18">
        <f t="shared" si="14"/>
        <v>-0.16824145252806702</v>
      </c>
      <c r="AJ18">
        <f t="shared" si="14"/>
        <v>0.51333853677900998</v>
      </c>
      <c r="AK18">
        <f t="shared" si="14"/>
        <v>-0.75441169109848893</v>
      </c>
      <c r="AL18">
        <f t="shared" si="15"/>
        <v>-0.14648384579448484</v>
      </c>
      <c r="AM18">
        <f t="shared" si="15"/>
        <v>0.38022405089785288</v>
      </c>
      <c r="AN18">
        <f t="shared" si="15"/>
        <v>-0.55253434468368401</v>
      </c>
    </row>
    <row r="19" spans="1:40" x14ac:dyDescent="0.3">
      <c r="A19" s="6"/>
      <c r="B19" t="s">
        <v>37</v>
      </c>
      <c r="C19">
        <v>1403</v>
      </c>
      <c r="D19">
        <v>2200</v>
      </c>
      <c r="E19">
        <v>2111</v>
      </c>
      <c r="F19">
        <v>1663</v>
      </c>
      <c r="G19">
        <v>2231</v>
      </c>
      <c r="H19">
        <v>3267</v>
      </c>
      <c r="I19">
        <v>1724</v>
      </c>
      <c r="J19">
        <v>2020</v>
      </c>
      <c r="K19">
        <v>2873</v>
      </c>
      <c r="L19">
        <v>1735</v>
      </c>
      <c r="M19">
        <v>1699</v>
      </c>
      <c r="N19">
        <v>2286</v>
      </c>
      <c r="P19" t="s">
        <v>37</v>
      </c>
      <c r="Q19">
        <f t="shared" si="0"/>
        <v>2.0537818570403876E-2</v>
      </c>
      <c r="R19">
        <f t="shared" si="1"/>
        <v>2.4333860566978952E-2</v>
      </c>
      <c r="S19">
        <f t="shared" si="2"/>
        <v>2.9212736808601914E-2</v>
      </c>
      <c r="T19">
        <f t="shared" si="3"/>
        <v>1.8585574107601869E-2</v>
      </c>
      <c r="U19">
        <f t="shared" si="4"/>
        <v>2.5912031498623679E-2</v>
      </c>
      <c r="V19">
        <f t="shared" si="5"/>
        <v>2.6524315986035562E-2</v>
      </c>
      <c r="W19">
        <f t="shared" si="6"/>
        <v>1.81668739067209E-2</v>
      </c>
      <c r="X19">
        <f t="shared" si="7"/>
        <v>2.5254735262861788E-2</v>
      </c>
      <c r="Y19">
        <f t="shared" si="8"/>
        <v>2.7820815741565634E-2</v>
      </c>
      <c r="Z19">
        <f t="shared" si="9"/>
        <v>2.2161478624072348E-2</v>
      </c>
      <c r="AA19">
        <f t="shared" si="10"/>
        <v>2.9835806479936781E-2</v>
      </c>
      <c r="AB19">
        <f t="shared" si="11"/>
        <v>2.7548806941431671E-2</v>
      </c>
      <c r="AC19" s="10">
        <f t="shared" si="12"/>
        <v>0</v>
      </c>
      <c r="AD19" s="10">
        <f t="shared" si="12"/>
        <v>0</v>
      </c>
      <c r="AE19" s="10">
        <f t="shared" si="12"/>
        <v>0</v>
      </c>
      <c r="AF19">
        <f t="shared" si="13"/>
        <v>-0.14409969989765836</v>
      </c>
      <c r="AG19">
        <f t="shared" si="13"/>
        <v>9.0656904981878284E-2</v>
      </c>
      <c r="AH19">
        <f t="shared" si="13"/>
        <v>-0.1392819769098215</v>
      </c>
      <c r="AI19">
        <f t="shared" si="14"/>
        <v>-0.17697276665440639</v>
      </c>
      <c r="AJ19">
        <f t="shared" si="14"/>
        <v>5.3588696544954427E-2</v>
      </c>
      <c r="AK19">
        <f t="shared" si="14"/>
        <v>-7.043280189635219E-2</v>
      </c>
      <c r="AL19">
        <f t="shared" si="15"/>
        <v>0.10977118830202527</v>
      </c>
      <c r="AM19">
        <f t="shared" si="15"/>
        <v>0.29407955233876198</v>
      </c>
      <c r="AN19">
        <f t="shared" si="15"/>
        <v>-8.4607682812942786E-2</v>
      </c>
    </row>
    <row r="20" spans="1:40" x14ac:dyDescent="0.3">
      <c r="A20" s="6"/>
      <c r="B20" t="s">
        <v>39</v>
      </c>
      <c r="C20">
        <v>1</v>
      </c>
      <c r="D20">
        <v>2</v>
      </c>
      <c r="E20">
        <v>2</v>
      </c>
      <c r="F20">
        <v>0</v>
      </c>
      <c r="G20">
        <v>0</v>
      </c>
      <c r="H20">
        <v>4</v>
      </c>
      <c r="I20">
        <v>3</v>
      </c>
      <c r="J20">
        <v>1</v>
      </c>
      <c r="K20">
        <v>4</v>
      </c>
      <c r="L20">
        <v>3</v>
      </c>
      <c r="M20">
        <v>0</v>
      </c>
      <c r="N20">
        <v>1</v>
      </c>
      <c r="P20" t="s">
        <v>39</v>
      </c>
      <c r="Q20">
        <f t="shared" si="0"/>
        <v>1.4638502188456077E-5</v>
      </c>
      <c r="R20">
        <f t="shared" si="1"/>
        <v>2.2121691424526321E-5</v>
      </c>
      <c r="S20">
        <f t="shared" si="2"/>
        <v>2.767668101241299E-5</v>
      </c>
      <c r="T20">
        <f t="shared" si="3"/>
        <v>0</v>
      </c>
      <c r="U20">
        <f t="shared" si="4"/>
        <v>0</v>
      </c>
      <c r="V20">
        <f t="shared" si="5"/>
        <v>3.247544044816108E-5</v>
      </c>
      <c r="W20">
        <f t="shared" si="6"/>
        <v>3.1612889628864677E-5</v>
      </c>
      <c r="X20">
        <f t="shared" si="7"/>
        <v>1.2502344189535537E-5</v>
      </c>
      <c r="Y20">
        <f t="shared" si="8"/>
        <v>3.8734167409071542E-5</v>
      </c>
      <c r="Z20">
        <f t="shared" si="9"/>
        <v>3.8319559580528551E-5</v>
      </c>
      <c r="AA20">
        <f t="shared" si="10"/>
        <v>0</v>
      </c>
      <c r="AB20">
        <f t="shared" si="11"/>
        <v>1.2051096649795132E-5</v>
      </c>
      <c r="AC20" s="10">
        <f t="shared" si="12"/>
        <v>0</v>
      </c>
      <c r="AD20" s="10">
        <f t="shared" si="12"/>
        <v>0</v>
      </c>
      <c r="AE20" s="10">
        <f t="shared" si="12"/>
        <v>0</v>
      </c>
      <c r="AF20" t="e">
        <f t="shared" si="13"/>
        <v>#NUM!</v>
      </c>
      <c r="AG20" t="e">
        <f t="shared" si="13"/>
        <v>#NUM!</v>
      </c>
      <c r="AH20">
        <f t="shared" si="13"/>
        <v>0.23067814699927155</v>
      </c>
      <c r="AI20">
        <f t="shared" si="14"/>
        <v>1.110744968597551</v>
      </c>
      <c r="AJ20">
        <f t="shared" si="14"/>
        <v>-0.82326307268218069</v>
      </c>
      <c r="AK20">
        <f t="shared" si="14"/>
        <v>0.48493578391828041</v>
      </c>
      <c r="AL20">
        <f t="shared" si="15"/>
        <v>1.3883130351774571</v>
      </c>
      <c r="AM20" t="e">
        <f t="shared" si="15"/>
        <v>#NUM!</v>
      </c>
      <c r="AN20">
        <f t="shared" si="15"/>
        <v>-1.1995065076802649</v>
      </c>
    </row>
    <row r="21" spans="1:40" x14ac:dyDescent="0.3">
      <c r="A21" s="6"/>
      <c r="B21" t="s">
        <v>40</v>
      </c>
      <c r="C21">
        <v>77</v>
      </c>
      <c r="D21">
        <v>48</v>
      </c>
      <c r="E21">
        <v>50</v>
      </c>
      <c r="F21">
        <v>64</v>
      </c>
      <c r="G21">
        <v>35</v>
      </c>
      <c r="H21">
        <v>66</v>
      </c>
      <c r="I21">
        <v>64</v>
      </c>
      <c r="J21">
        <v>39</v>
      </c>
      <c r="K21">
        <v>57</v>
      </c>
      <c r="L21">
        <v>50</v>
      </c>
      <c r="M21">
        <v>15</v>
      </c>
      <c r="N21">
        <v>51</v>
      </c>
      <c r="P21" t="s">
        <v>40</v>
      </c>
      <c r="Q21">
        <f t="shared" si="0"/>
        <v>1.1271646685111179E-3</v>
      </c>
      <c r="R21">
        <f t="shared" si="1"/>
        <v>5.3092059418863161E-4</v>
      </c>
      <c r="S21">
        <f t="shared" si="2"/>
        <v>6.9191702531032481E-4</v>
      </c>
      <c r="T21">
        <f t="shared" si="3"/>
        <v>7.152596168890677E-4</v>
      </c>
      <c r="U21">
        <f t="shared" si="4"/>
        <v>4.0650878639705455E-4</v>
      </c>
      <c r="V21">
        <f t="shared" si="5"/>
        <v>5.3584476739465775E-4</v>
      </c>
      <c r="W21">
        <f t="shared" si="6"/>
        <v>6.744083120824464E-4</v>
      </c>
      <c r="X21">
        <f t="shared" si="7"/>
        <v>4.87591423391886E-4</v>
      </c>
      <c r="Y21">
        <f t="shared" si="8"/>
        <v>5.5196188557926943E-4</v>
      </c>
      <c r="Z21">
        <f t="shared" si="9"/>
        <v>6.3865932634214263E-4</v>
      </c>
      <c r="AA21">
        <f t="shared" si="10"/>
        <v>2.634120642725437E-4</v>
      </c>
      <c r="AB21">
        <f t="shared" si="11"/>
        <v>6.146059291395517E-4</v>
      </c>
      <c r="AC21" s="10">
        <f t="shared" si="12"/>
        <v>0</v>
      </c>
      <c r="AD21" s="10">
        <f t="shared" si="12"/>
        <v>0</v>
      </c>
      <c r="AE21" s="10">
        <f t="shared" si="12"/>
        <v>0</v>
      </c>
      <c r="AF21">
        <f t="shared" si="13"/>
        <v>-0.65615940025992958</v>
      </c>
      <c r="AG21">
        <f t="shared" si="13"/>
        <v>-0.38520956862643002</v>
      </c>
      <c r="AH21">
        <f t="shared" si="13"/>
        <v>-0.368783923417</v>
      </c>
      <c r="AI21">
        <f t="shared" si="14"/>
        <v>-0.74100407281850666</v>
      </c>
      <c r="AJ21">
        <f t="shared" si="14"/>
        <v>-0.12282335454108824</v>
      </c>
      <c r="AK21">
        <f t="shared" si="14"/>
        <v>-0.32603039169170289</v>
      </c>
      <c r="AL21">
        <f t="shared" si="15"/>
        <v>-0.81957981646387557</v>
      </c>
      <c r="AM21">
        <f t="shared" si="15"/>
        <v>-1.0111746815460738</v>
      </c>
      <c r="AN21">
        <f t="shared" si="15"/>
        <v>-0.17093735548349398</v>
      </c>
    </row>
    <row r="22" spans="1:40" x14ac:dyDescent="0.3">
      <c r="A22" s="6"/>
      <c r="B22" t="s">
        <v>42</v>
      </c>
      <c r="C22">
        <v>990</v>
      </c>
      <c r="D22">
        <v>1504</v>
      </c>
      <c r="E22">
        <v>744</v>
      </c>
      <c r="F22">
        <v>1190</v>
      </c>
      <c r="G22">
        <v>1130</v>
      </c>
      <c r="H22">
        <v>1340</v>
      </c>
      <c r="I22">
        <v>1147</v>
      </c>
      <c r="J22">
        <v>999</v>
      </c>
      <c r="K22">
        <v>978</v>
      </c>
      <c r="L22">
        <v>1061</v>
      </c>
      <c r="M22">
        <v>711</v>
      </c>
      <c r="N22">
        <v>844</v>
      </c>
      <c r="P22" t="s">
        <v>42</v>
      </c>
      <c r="Q22">
        <f t="shared" si="0"/>
        <v>1.4492117166571516E-2</v>
      </c>
      <c r="R22">
        <f t="shared" si="1"/>
        <v>1.6635511951243791E-2</v>
      </c>
      <c r="S22">
        <f t="shared" si="2"/>
        <v>1.0295725336617633E-2</v>
      </c>
      <c r="T22">
        <f t="shared" si="3"/>
        <v>1.3299358501531102E-2</v>
      </c>
      <c r="U22">
        <f t="shared" si="4"/>
        <v>1.3124426532247761E-2</v>
      </c>
      <c r="V22">
        <f t="shared" si="5"/>
        <v>1.0879272550133962E-2</v>
      </c>
      <c r="W22">
        <f t="shared" si="6"/>
        <v>1.2086661468102595E-2</v>
      </c>
      <c r="X22">
        <f t="shared" si="7"/>
        <v>1.2489841845346003E-2</v>
      </c>
      <c r="Y22">
        <f t="shared" si="8"/>
        <v>9.4705039315179929E-3</v>
      </c>
      <c r="Z22">
        <f t="shared" si="9"/>
        <v>1.3552350904980266E-2</v>
      </c>
      <c r="AA22">
        <f t="shared" si="10"/>
        <v>1.248573184651857E-2</v>
      </c>
      <c r="AB22">
        <f t="shared" si="11"/>
        <v>1.0171125572427091E-2</v>
      </c>
      <c r="AC22" s="10">
        <f t="shared" si="12"/>
        <v>0</v>
      </c>
      <c r="AD22" s="10">
        <f t="shared" si="12"/>
        <v>0</v>
      </c>
      <c r="AE22" s="10">
        <f t="shared" si="12"/>
        <v>0</v>
      </c>
      <c r="AF22">
        <f t="shared" si="13"/>
        <v>-0.12391171633669433</v>
      </c>
      <c r="AG22">
        <f t="shared" si="13"/>
        <v>-0.34201187922532766</v>
      </c>
      <c r="AH22">
        <f t="shared" si="13"/>
        <v>7.9536621236374755E-2</v>
      </c>
      <c r="AI22">
        <f t="shared" si="14"/>
        <v>-0.26185257107475218</v>
      </c>
      <c r="AJ22">
        <f t="shared" si="14"/>
        <v>-0.41351105656739956</v>
      </c>
      <c r="AK22">
        <f t="shared" si="14"/>
        <v>-0.12053237223751741</v>
      </c>
      <c r="AL22">
        <f t="shared" si="15"/>
        <v>-9.6725239595906135E-2</v>
      </c>
      <c r="AM22">
        <f t="shared" si="15"/>
        <v>-0.41398587849165847</v>
      </c>
      <c r="AN22">
        <f t="shared" si="15"/>
        <v>-1.7566130081111197E-2</v>
      </c>
    </row>
    <row r="23" spans="1:40" x14ac:dyDescent="0.3">
      <c r="A23" s="6"/>
      <c r="B23" t="s">
        <v>44</v>
      </c>
      <c r="C23">
        <v>9183</v>
      </c>
      <c r="D23">
        <v>7407</v>
      </c>
      <c r="E23">
        <v>6759</v>
      </c>
      <c r="F23">
        <v>12509</v>
      </c>
      <c r="G23">
        <v>8584</v>
      </c>
      <c r="H23">
        <v>10804</v>
      </c>
      <c r="I23">
        <v>12808</v>
      </c>
      <c r="J23">
        <v>8467</v>
      </c>
      <c r="K23">
        <v>9089</v>
      </c>
      <c r="L23">
        <v>10818</v>
      </c>
      <c r="M23">
        <v>6115</v>
      </c>
      <c r="N23">
        <v>7524</v>
      </c>
      <c r="P23" t="s">
        <v>44</v>
      </c>
      <c r="Q23">
        <f t="shared" si="0"/>
        <v>0.13442536559659216</v>
      </c>
      <c r="R23">
        <f t="shared" si="1"/>
        <v>8.1927684190733222E-2</v>
      </c>
      <c r="S23">
        <f t="shared" si="2"/>
        <v>9.3533343481449704E-2</v>
      </c>
      <c r="T23">
        <f t="shared" si="3"/>
        <v>0.13979972730727105</v>
      </c>
      <c r="U23">
        <f t="shared" si="4"/>
        <v>9.9699183498066182E-2</v>
      </c>
      <c r="V23">
        <f t="shared" si="5"/>
        <v>8.7716164650483069E-2</v>
      </c>
      <c r="W23">
        <f t="shared" si="6"/>
        <v>0.13496596345549958</v>
      </c>
      <c r="X23">
        <f t="shared" si="7"/>
        <v>0.1058573482527974</v>
      </c>
      <c r="Y23">
        <f t="shared" si="8"/>
        <v>8.8013711895262817E-2</v>
      </c>
      <c r="Z23">
        <f t="shared" si="9"/>
        <v>0.13818033184738596</v>
      </c>
      <c r="AA23">
        <f t="shared" si="10"/>
        <v>0.10738431820177365</v>
      </c>
      <c r="AB23">
        <f t="shared" si="11"/>
        <v>9.067245119305857E-2</v>
      </c>
      <c r="AC23" s="10">
        <f t="shared" si="12"/>
        <v>0</v>
      </c>
      <c r="AD23" s="10">
        <f t="shared" si="12"/>
        <v>0</v>
      </c>
      <c r="AE23" s="10">
        <f t="shared" si="12"/>
        <v>0</v>
      </c>
      <c r="AF23">
        <f t="shared" si="13"/>
        <v>5.6556151285918843E-2</v>
      </c>
      <c r="AG23">
        <f t="shared" si="13"/>
        <v>0.28323065404234349</v>
      </c>
      <c r="AH23">
        <f t="shared" si="13"/>
        <v>-9.2638027448345789E-2</v>
      </c>
      <c r="AI23">
        <f t="shared" si="14"/>
        <v>5.7902301445036733E-3</v>
      </c>
      <c r="AJ23">
        <f t="shared" si="14"/>
        <v>0.36969847917891202</v>
      </c>
      <c r="AK23">
        <f t="shared" si="14"/>
        <v>-8.7752457013255888E-2</v>
      </c>
      <c r="AL23">
        <f t="shared" si="15"/>
        <v>3.9746886361651142E-2</v>
      </c>
      <c r="AM23">
        <f t="shared" si="15"/>
        <v>0.39036038511737464</v>
      </c>
      <c r="AN23">
        <f t="shared" si="15"/>
        <v>-4.481647311365386E-2</v>
      </c>
    </row>
    <row r="24" spans="1:40" x14ac:dyDescent="0.3">
      <c r="B24" t="s">
        <v>45</v>
      </c>
      <c r="C24">
        <v>85336.33</v>
      </c>
      <c r="D24">
        <v>113888.01</v>
      </c>
      <c r="E24">
        <v>91408</v>
      </c>
      <c r="F24">
        <v>110353.93</v>
      </c>
      <c r="G24">
        <v>104810</v>
      </c>
      <c r="H24">
        <v>154977.68</v>
      </c>
      <c r="I24">
        <v>111326</v>
      </c>
      <c r="J24">
        <v>95715</v>
      </c>
      <c r="K24">
        <v>123525.99</v>
      </c>
      <c r="L24">
        <v>93022</v>
      </c>
      <c r="M24">
        <v>64676.92</v>
      </c>
      <c r="N24">
        <v>106100.98</v>
      </c>
      <c r="P24" t="s">
        <v>45</v>
      </c>
      <c r="Q24">
        <f t="shared" si="0"/>
        <v>1.2491960534598101</v>
      </c>
      <c r="R24">
        <f t="shared" si="1"/>
        <v>1.2596977070866837</v>
      </c>
      <c r="S24">
        <f t="shared" si="2"/>
        <v>1.2649350289913233</v>
      </c>
      <c r="T24">
        <f t="shared" si="3"/>
        <v>1.2333079639687967</v>
      </c>
      <c r="U24">
        <f t="shared" si="4"/>
        <v>1.2173195972078654</v>
      </c>
      <c r="V24">
        <f t="shared" si="5"/>
        <v>1.258242104408541</v>
      </c>
      <c r="W24">
        <f t="shared" si="6"/>
        <v>1.173112183607663</v>
      </c>
      <c r="X24">
        <f t="shared" si="7"/>
        <v>1.1966618741013939</v>
      </c>
      <c r="Y24">
        <f t="shared" si="8"/>
        <v>1.1961690940078245</v>
      </c>
      <c r="Z24">
        <f t="shared" si="9"/>
        <v>1.1881873570999757</v>
      </c>
      <c r="AA24">
        <f t="shared" si="10"/>
        <v>1.135778733866011</v>
      </c>
      <c r="AB24">
        <f t="shared" si="11"/>
        <v>1.2786331646179803</v>
      </c>
      <c r="AC24" s="10">
        <f t="shared" si="12"/>
        <v>0</v>
      </c>
      <c r="AD24" s="10">
        <f t="shared" si="12"/>
        <v>0</v>
      </c>
      <c r="AE24" s="10">
        <f t="shared" si="12"/>
        <v>0</v>
      </c>
      <c r="AF24">
        <f t="shared" si="13"/>
        <v>-1.8466822792097406E-2</v>
      </c>
      <c r="AG24">
        <f t="shared" si="13"/>
        <v>-4.9369582551366545E-2</v>
      </c>
      <c r="AH24">
        <f t="shared" si="13"/>
        <v>-7.6537406935386926E-3</v>
      </c>
      <c r="AI24">
        <f t="shared" si="14"/>
        <v>-9.065893309911302E-2</v>
      </c>
      <c r="AJ24">
        <f t="shared" si="14"/>
        <v>-7.4062002578264341E-2</v>
      </c>
      <c r="AK24">
        <f t="shared" si="14"/>
        <v>-8.0641937906560823E-2</v>
      </c>
      <c r="AL24">
        <f t="shared" si="15"/>
        <v>-7.2237573879771741E-2</v>
      </c>
      <c r="AM24">
        <f t="shared" si="15"/>
        <v>-0.14939576365845547</v>
      </c>
      <c r="AN24">
        <f t="shared" si="15"/>
        <v>1.5539133916422343E-2</v>
      </c>
    </row>
    <row r="25" spans="1:40" x14ac:dyDescent="0.3">
      <c r="B25" t="s">
        <v>46</v>
      </c>
      <c r="C25">
        <v>10494</v>
      </c>
      <c r="D25">
        <v>13729</v>
      </c>
      <c r="E25">
        <v>10884</v>
      </c>
      <c r="F25">
        <v>13013</v>
      </c>
      <c r="G25">
        <v>14213</v>
      </c>
      <c r="H25">
        <v>16398</v>
      </c>
      <c r="I25">
        <v>13720</v>
      </c>
      <c r="J25">
        <v>12081</v>
      </c>
      <c r="K25">
        <v>13405</v>
      </c>
      <c r="L25">
        <v>12460</v>
      </c>
      <c r="M25">
        <v>8636</v>
      </c>
      <c r="N25">
        <v>9838</v>
      </c>
      <c r="P25" t="s">
        <v>46</v>
      </c>
      <c r="Q25">
        <f t="shared" si="0"/>
        <v>0.15361644196565807</v>
      </c>
      <c r="R25">
        <f t="shared" si="1"/>
        <v>0.15185435078366091</v>
      </c>
      <c r="S25">
        <f t="shared" si="2"/>
        <v>0.15061649806955149</v>
      </c>
      <c r="T25">
        <f t="shared" si="3"/>
        <v>0.14543239679027248</v>
      </c>
      <c r="U25">
        <f t="shared" si="4"/>
        <v>0.16507741088746675</v>
      </c>
      <c r="V25">
        <f t="shared" si="5"/>
        <v>0.13313306811723635</v>
      </c>
      <c r="W25">
        <f t="shared" si="6"/>
        <v>0.14457628190267446</v>
      </c>
      <c r="X25">
        <f t="shared" si="7"/>
        <v>0.15104082015377884</v>
      </c>
      <c r="Y25">
        <f t="shared" si="8"/>
        <v>0.12980787852965101</v>
      </c>
      <c r="Z25">
        <f t="shared" si="9"/>
        <v>0.15915390412446193</v>
      </c>
      <c r="AA25">
        <f t="shared" si="10"/>
        <v>0.15165510580384581</v>
      </c>
      <c r="AB25">
        <f t="shared" si="11"/>
        <v>0.1185586888406845</v>
      </c>
      <c r="AC25" s="10">
        <f t="shared" si="12"/>
        <v>0</v>
      </c>
      <c r="AD25" s="10">
        <f t="shared" si="12"/>
        <v>0</v>
      </c>
      <c r="AE25" s="10">
        <f t="shared" si="12"/>
        <v>0</v>
      </c>
      <c r="AF25">
        <f t="shared" si="13"/>
        <v>-7.8983957230751176E-2</v>
      </c>
      <c r="AG25">
        <f t="shared" si="13"/>
        <v>0.12045447227284874</v>
      </c>
      <c r="AH25">
        <f t="shared" si="13"/>
        <v>-0.178010849006044</v>
      </c>
      <c r="AI25">
        <f t="shared" si="14"/>
        <v>-8.7501745706239392E-2</v>
      </c>
      <c r="AJ25">
        <f t="shared" si="14"/>
        <v>-7.7497401093474675E-3</v>
      </c>
      <c r="AK25">
        <f t="shared" si="14"/>
        <v>-0.21450185846147474</v>
      </c>
      <c r="AL25">
        <f t="shared" si="15"/>
        <v>5.1089907724856373E-2</v>
      </c>
      <c r="AM25">
        <f t="shared" si="15"/>
        <v>-1.8941735050083874E-3</v>
      </c>
      <c r="AN25">
        <f t="shared" si="15"/>
        <v>-0.34527840920661523</v>
      </c>
    </row>
    <row r="26" spans="1:40" x14ac:dyDescent="0.3">
      <c r="A26" s="9" t="s">
        <v>47</v>
      </c>
      <c r="B26" t="s">
        <v>48</v>
      </c>
      <c r="C26">
        <v>2024</v>
      </c>
      <c r="D26">
        <v>3856</v>
      </c>
      <c r="E26">
        <v>1959</v>
      </c>
      <c r="F26">
        <v>2416.9899999999998</v>
      </c>
      <c r="G26">
        <v>3936</v>
      </c>
      <c r="H26">
        <v>3215</v>
      </c>
      <c r="I26">
        <v>2533.2600000000002</v>
      </c>
      <c r="J26">
        <v>3798</v>
      </c>
      <c r="K26">
        <v>2788</v>
      </c>
      <c r="L26">
        <v>2554</v>
      </c>
      <c r="M26">
        <v>2771</v>
      </c>
      <c r="N26">
        <v>2052.0100000000002</v>
      </c>
      <c r="P26" t="s">
        <v>48</v>
      </c>
      <c r="Q26">
        <f t="shared" si="0"/>
        <v>2.9628328429435101E-2</v>
      </c>
      <c r="R26">
        <f t="shared" si="1"/>
        <v>4.2650621066486746E-2</v>
      </c>
      <c r="S26">
        <f t="shared" si="2"/>
        <v>2.7109309051658526E-2</v>
      </c>
      <c r="T26">
        <f t="shared" si="3"/>
        <v>2.7012114709761056E-2</v>
      </c>
      <c r="U26">
        <f t="shared" si="4"/>
        <v>4.5714816664537333E-2</v>
      </c>
      <c r="V26">
        <f t="shared" si="5"/>
        <v>2.6102135260209467E-2</v>
      </c>
      <c r="W26">
        <f t="shared" si="6"/>
        <v>2.6694556260405913E-2</v>
      </c>
      <c r="X26">
        <f t="shared" si="7"/>
        <v>4.7483903231855973E-2</v>
      </c>
      <c r="Y26">
        <f t="shared" si="8"/>
        <v>2.6997714684122865E-2</v>
      </c>
      <c r="Z26">
        <f t="shared" si="9"/>
        <v>3.2622718389556646E-2</v>
      </c>
      <c r="AA26">
        <f t="shared" si="10"/>
        <v>4.8660988673281239E-2</v>
      </c>
      <c r="AB26">
        <f t="shared" si="11"/>
        <v>2.472897083634611E-2</v>
      </c>
      <c r="AC26" s="10">
        <f t="shared" si="12"/>
        <v>0</v>
      </c>
      <c r="AD26" s="10">
        <f t="shared" si="12"/>
        <v>0</v>
      </c>
      <c r="AE26" s="10">
        <f t="shared" si="12"/>
        <v>0</v>
      </c>
      <c r="AF26">
        <f t="shared" si="13"/>
        <v>-0.13337064545538341</v>
      </c>
      <c r="AG26">
        <f t="shared" si="13"/>
        <v>0.10009508425903769</v>
      </c>
      <c r="AH26">
        <f t="shared" si="13"/>
        <v>-5.4620513053005984E-2</v>
      </c>
      <c r="AI26">
        <f t="shared" si="14"/>
        <v>-0.15043166715009418</v>
      </c>
      <c r="AJ26">
        <f t="shared" si="14"/>
        <v>0.15487178123735501</v>
      </c>
      <c r="AK26">
        <f t="shared" si="14"/>
        <v>-5.9510524808835804E-3</v>
      </c>
      <c r="AL26">
        <f t="shared" si="15"/>
        <v>0.13889976946471475</v>
      </c>
      <c r="AM26">
        <f t="shared" si="15"/>
        <v>0.19019888281801903</v>
      </c>
      <c r="AN26">
        <f t="shared" si="15"/>
        <v>-0.13258614368034183</v>
      </c>
    </row>
    <row r="27" spans="1:40" x14ac:dyDescent="0.3">
      <c r="A27" s="9"/>
      <c r="B27" t="s">
        <v>49</v>
      </c>
      <c r="C27">
        <v>140.99</v>
      </c>
      <c r="D27">
        <v>104.44</v>
      </c>
      <c r="E27">
        <v>157.49</v>
      </c>
      <c r="F27">
        <v>178.16</v>
      </c>
      <c r="G27">
        <v>143.94</v>
      </c>
      <c r="H27">
        <v>231.68</v>
      </c>
      <c r="I27">
        <v>202.79</v>
      </c>
      <c r="J27">
        <v>175.02</v>
      </c>
      <c r="K27">
        <v>187.07</v>
      </c>
      <c r="L27">
        <v>208</v>
      </c>
      <c r="M27">
        <v>89.13</v>
      </c>
      <c r="N27">
        <v>162.1</v>
      </c>
      <c r="P27" t="s">
        <v>49</v>
      </c>
      <c r="Q27">
        <f t="shared" si="0"/>
        <v>2.0638824235504226E-3</v>
      </c>
      <c r="R27">
        <f t="shared" si="1"/>
        <v>1.1551947261887643E-3</v>
      </c>
      <c r="S27">
        <f t="shared" si="2"/>
        <v>2.1794002463224613E-3</v>
      </c>
      <c r="T27">
        <f t="shared" si="3"/>
        <v>1.991103958514942E-3</v>
      </c>
      <c r="U27">
        <f t="shared" si="4"/>
        <v>1.6717964203997724E-3</v>
      </c>
      <c r="V27">
        <f t="shared" si="5"/>
        <v>1.8809775107574897E-3</v>
      </c>
      <c r="W27">
        <f t="shared" si="6"/>
        <v>2.1369259626124893E-3</v>
      </c>
      <c r="X27">
        <f t="shared" si="7"/>
        <v>2.18816028005251E-3</v>
      </c>
      <c r="Y27">
        <f t="shared" si="8"/>
        <v>1.8115001743037532E-3</v>
      </c>
      <c r="Z27">
        <f t="shared" si="9"/>
        <v>2.6568227975833133E-3</v>
      </c>
      <c r="AA27">
        <f t="shared" si="10"/>
        <v>1.5651944859074545E-3</v>
      </c>
      <c r="AB27">
        <f t="shared" si="11"/>
        <v>1.9534827669317905E-3</v>
      </c>
      <c r="AC27" s="10">
        <f t="shared" si="12"/>
        <v>0</v>
      </c>
      <c r="AD27" s="10">
        <f t="shared" si="12"/>
        <v>0</v>
      </c>
      <c r="AE27" s="10">
        <f t="shared" si="12"/>
        <v>0</v>
      </c>
      <c r="AF27">
        <f t="shared" si="13"/>
        <v>-5.1792236525033182E-2</v>
      </c>
      <c r="AG27">
        <f t="shared" si="13"/>
        <v>0.53326311585150865</v>
      </c>
      <c r="AH27">
        <f t="shared" si="13"/>
        <v>-0.21244857148634155</v>
      </c>
      <c r="AI27">
        <f t="shared" si="14"/>
        <v>5.0176139456607663E-2</v>
      </c>
      <c r="AJ27">
        <f t="shared" si="14"/>
        <v>0.92158235662431154</v>
      </c>
      <c r="AK27">
        <f t="shared" si="14"/>
        <v>-0.26674622676914805</v>
      </c>
      <c r="AL27">
        <f t="shared" si="15"/>
        <v>0.36434122262432339</v>
      </c>
      <c r="AM27">
        <f t="shared" si="15"/>
        <v>0.43820587181029247</v>
      </c>
      <c r="AN27">
        <f t="shared" si="15"/>
        <v>-0.15788264284417949</v>
      </c>
    </row>
    <row r="28" spans="1:40" x14ac:dyDescent="0.3">
      <c r="A28" s="9"/>
      <c r="B28" t="s">
        <v>50</v>
      </c>
      <c r="C28">
        <v>8.1199999999999992</v>
      </c>
      <c r="D28">
        <v>10.14</v>
      </c>
      <c r="E28">
        <v>18.239999999999998</v>
      </c>
      <c r="F28">
        <v>18.12</v>
      </c>
      <c r="G28">
        <v>6.48</v>
      </c>
      <c r="H28">
        <v>17.11</v>
      </c>
      <c r="I28">
        <v>15.5</v>
      </c>
      <c r="J28">
        <v>10.95</v>
      </c>
      <c r="K28">
        <v>22.54</v>
      </c>
      <c r="L28">
        <v>9.06</v>
      </c>
      <c r="M28">
        <v>11.95</v>
      </c>
      <c r="N28">
        <v>16.64</v>
      </c>
      <c r="P28" t="s">
        <v>50</v>
      </c>
      <c r="Q28">
        <f t="shared" si="0"/>
        <v>1.1886463777026334E-4</v>
      </c>
      <c r="R28">
        <f t="shared" si="1"/>
        <v>1.1215697552234845E-4</v>
      </c>
      <c r="S28">
        <f t="shared" si="2"/>
        <v>2.5241133083320644E-4</v>
      </c>
      <c r="T28">
        <f t="shared" si="3"/>
        <v>2.0250787903171731E-4</v>
      </c>
      <c r="U28">
        <f t="shared" si="4"/>
        <v>7.5262198167226103E-5</v>
      </c>
      <c r="V28">
        <f t="shared" si="5"/>
        <v>1.38913696517009E-4</v>
      </c>
      <c r="W28">
        <f t="shared" si="6"/>
        <v>1.633332630824675E-4</v>
      </c>
      <c r="X28">
        <f t="shared" si="7"/>
        <v>1.3690066887541414E-4</v>
      </c>
      <c r="Y28">
        <f t="shared" si="8"/>
        <v>2.1826703335011812E-4</v>
      </c>
      <c r="Z28">
        <f t="shared" si="9"/>
        <v>1.1572506993319625E-4</v>
      </c>
      <c r="AA28">
        <f t="shared" si="10"/>
        <v>2.0985161120379311E-4</v>
      </c>
      <c r="AB28">
        <f t="shared" si="11"/>
        <v>2.0053024825259099E-4</v>
      </c>
      <c r="AC28" s="10">
        <f t="shared" si="12"/>
        <v>0</v>
      </c>
      <c r="AD28" s="10">
        <f t="shared" si="12"/>
        <v>0</v>
      </c>
      <c r="AE28" s="10">
        <f t="shared" si="12"/>
        <v>0</v>
      </c>
      <c r="AF28">
        <f t="shared" si="13"/>
        <v>0.76865846329603082</v>
      </c>
      <c r="AG28">
        <f t="shared" si="13"/>
        <v>-0.57552201896895638</v>
      </c>
      <c r="AH28">
        <f t="shared" si="13"/>
        <v>-0.86158782267605682</v>
      </c>
      <c r="AI28">
        <f t="shared" si="14"/>
        <v>0.45849905085281856</v>
      </c>
      <c r="AJ28">
        <f t="shared" si="14"/>
        <v>0.28761014480301461</v>
      </c>
      <c r="AK28">
        <f t="shared" si="14"/>
        <v>-0.20968243007424031</v>
      </c>
      <c r="AL28">
        <f t="shared" si="15"/>
        <v>-3.8618142682639786E-2</v>
      </c>
      <c r="AM28">
        <f t="shared" si="15"/>
        <v>0.90385018943133366</v>
      </c>
      <c r="AN28">
        <f t="shared" si="15"/>
        <v>-0.33195680370391412</v>
      </c>
    </row>
    <row r="29" spans="1:40" x14ac:dyDescent="0.3">
      <c r="A29" s="9"/>
      <c r="B29" t="s">
        <v>51</v>
      </c>
      <c r="C29">
        <v>1468</v>
      </c>
      <c r="D29">
        <v>1985</v>
      </c>
      <c r="E29">
        <v>1469</v>
      </c>
      <c r="F29">
        <v>1971</v>
      </c>
      <c r="G29">
        <v>1949</v>
      </c>
      <c r="H29">
        <v>2549</v>
      </c>
      <c r="I29">
        <v>2193</v>
      </c>
      <c r="J29">
        <v>1739</v>
      </c>
      <c r="K29">
        <v>2070</v>
      </c>
      <c r="L29">
        <v>1701</v>
      </c>
      <c r="M29">
        <v>1272</v>
      </c>
      <c r="N29">
        <v>1663</v>
      </c>
      <c r="P29" t="s">
        <v>51</v>
      </c>
      <c r="Q29">
        <f t="shared" si="0"/>
        <v>2.1489321212653522E-2</v>
      </c>
      <c r="R29">
        <f t="shared" si="1"/>
        <v>2.1955778738842371E-2</v>
      </c>
      <c r="S29">
        <f t="shared" si="2"/>
        <v>2.0328522203617343E-2</v>
      </c>
      <c r="T29">
        <f t="shared" si="3"/>
        <v>2.2027761013880508E-2</v>
      </c>
      <c r="U29">
        <f t="shared" si="4"/>
        <v>2.2636732133938839E-2</v>
      </c>
      <c r="V29">
        <f t="shared" si="5"/>
        <v>2.0694974425590647E-2</v>
      </c>
      <c r="W29">
        <f t="shared" si="6"/>
        <v>2.3109022318700077E-2</v>
      </c>
      <c r="X29">
        <f t="shared" si="7"/>
        <v>2.1741576545602301E-2</v>
      </c>
      <c r="Y29">
        <f t="shared" si="8"/>
        <v>2.0044931634194522E-2</v>
      </c>
      <c r="Z29">
        <f t="shared" si="9"/>
        <v>2.1727190282159692E-2</v>
      </c>
      <c r="AA29">
        <f t="shared" si="10"/>
        <v>2.2337343050311705E-2</v>
      </c>
      <c r="AB29">
        <f t="shared" si="11"/>
        <v>2.0040973728609305E-2</v>
      </c>
      <c r="AC29" s="10">
        <f t="shared" si="12"/>
        <v>0</v>
      </c>
      <c r="AD29" s="10">
        <f t="shared" si="12"/>
        <v>0</v>
      </c>
      <c r="AE29" s="10">
        <f t="shared" si="12"/>
        <v>0</v>
      </c>
      <c r="AF29">
        <f t="shared" si="13"/>
        <v>3.5702948635244806E-2</v>
      </c>
      <c r="AG29">
        <f t="shared" si="13"/>
        <v>4.4064998377329578E-2</v>
      </c>
      <c r="AH29">
        <f t="shared" si="13"/>
        <v>2.5775124465193307E-2</v>
      </c>
      <c r="AI29">
        <f t="shared" si="14"/>
        <v>0.10483631170677533</v>
      </c>
      <c r="AJ29">
        <f t="shared" si="14"/>
        <v>-1.4144147405913514E-2</v>
      </c>
      <c r="AK29">
        <f t="shared" si="14"/>
        <v>-2.0267844251312138E-2</v>
      </c>
      <c r="AL29">
        <f t="shared" si="15"/>
        <v>1.5881707276473207E-2</v>
      </c>
      <c r="AM29">
        <f t="shared" si="15"/>
        <v>2.4856886820598913E-2</v>
      </c>
      <c r="AN29">
        <f t="shared" si="15"/>
        <v>-2.0552734949275706E-2</v>
      </c>
    </row>
    <row r="30" spans="1:40" x14ac:dyDescent="0.3">
      <c r="A30" s="9"/>
      <c r="B30" t="s">
        <v>52</v>
      </c>
      <c r="C30">
        <v>315</v>
      </c>
      <c r="D30">
        <v>352</v>
      </c>
      <c r="E30">
        <v>330</v>
      </c>
      <c r="F30">
        <v>396</v>
      </c>
      <c r="G30">
        <v>346</v>
      </c>
      <c r="H30">
        <v>665</v>
      </c>
      <c r="I30">
        <v>435</v>
      </c>
      <c r="J30">
        <v>377</v>
      </c>
      <c r="K30">
        <v>559</v>
      </c>
      <c r="L30">
        <v>379</v>
      </c>
      <c r="M30">
        <v>299</v>
      </c>
      <c r="N30">
        <v>426</v>
      </c>
      <c r="P30" t="s">
        <v>52</v>
      </c>
      <c r="Q30">
        <f t="shared" si="0"/>
        <v>4.6111281893636644E-3</v>
      </c>
      <c r="R30">
        <f t="shared" si="1"/>
        <v>3.893417690716632E-3</v>
      </c>
      <c r="S30">
        <f t="shared" si="2"/>
        <v>4.5666523670481437E-3</v>
      </c>
      <c r="T30">
        <f t="shared" si="3"/>
        <v>4.4256688795011063E-3</v>
      </c>
      <c r="U30">
        <f t="shared" si="4"/>
        <v>4.0186297169537396E-3</v>
      </c>
      <c r="V30">
        <f t="shared" si="5"/>
        <v>5.3990419745067793E-3</v>
      </c>
      <c r="W30">
        <f t="shared" si="6"/>
        <v>4.5838689961853777E-3</v>
      </c>
      <c r="X30">
        <f t="shared" si="7"/>
        <v>4.7133837594548981E-3</v>
      </c>
      <c r="Y30">
        <f t="shared" si="8"/>
        <v>5.413099895417748E-3</v>
      </c>
      <c r="Z30">
        <f t="shared" si="9"/>
        <v>4.841037693673441E-3</v>
      </c>
      <c r="AA30">
        <f t="shared" si="10"/>
        <v>5.2506804811660373E-3</v>
      </c>
      <c r="AB30">
        <f t="shared" si="11"/>
        <v>5.133767172812726E-3</v>
      </c>
      <c r="AC30" s="10">
        <f t="shared" si="12"/>
        <v>0</v>
      </c>
      <c r="AD30" s="10">
        <f t="shared" si="12"/>
        <v>0</v>
      </c>
      <c r="AE30" s="10">
        <f t="shared" si="12"/>
        <v>0</v>
      </c>
      <c r="AF30">
        <f t="shared" si="13"/>
        <v>-5.9224257872697431E-2</v>
      </c>
      <c r="AG30">
        <f t="shared" si="13"/>
        <v>4.5666524149186948E-2</v>
      </c>
      <c r="AH30">
        <f t="shared" si="13"/>
        <v>0.24156646314200753</v>
      </c>
      <c r="AI30">
        <f t="shared" si="14"/>
        <v>-8.5539597747936111E-3</v>
      </c>
      <c r="AJ30">
        <f t="shared" si="14"/>
        <v>0.27572602194918655</v>
      </c>
      <c r="AK30">
        <f t="shared" si="14"/>
        <v>0.24531804251565464</v>
      </c>
      <c r="AL30">
        <f t="shared" si="15"/>
        <v>7.0196554240114145E-2</v>
      </c>
      <c r="AM30">
        <f t="shared" si="15"/>
        <v>0.43146727912737148</v>
      </c>
      <c r="AN30">
        <f t="shared" si="15"/>
        <v>0.16888089829975741</v>
      </c>
    </row>
    <row r="31" spans="1:40" x14ac:dyDescent="0.3">
      <c r="A31" s="9"/>
      <c r="B31" t="s">
        <v>53</v>
      </c>
      <c r="C31">
        <v>2247</v>
      </c>
      <c r="D31">
        <v>3477</v>
      </c>
      <c r="E31">
        <v>3073</v>
      </c>
      <c r="F31">
        <v>2722</v>
      </c>
      <c r="G31">
        <v>3242</v>
      </c>
      <c r="H31">
        <v>4824</v>
      </c>
      <c r="I31">
        <v>2687</v>
      </c>
      <c r="J31">
        <v>2970</v>
      </c>
      <c r="K31">
        <v>4114</v>
      </c>
      <c r="L31">
        <v>2385</v>
      </c>
      <c r="M31">
        <v>2238</v>
      </c>
      <c r="N31">
        <v>3054</v>
      </c>
      <c r="P31" t="s">
        <v>53</v>
      </c>
      <c r="Q31">
        <f t="shared" si="0"/>
        <v>3.2892714417460805E-2</v>
      </c>
      <c r="R31">
        <f t="shared" si="1"/>
        <v>3.8458560541539004E-2</v>
      </c>
      <c r="S31">
        <f t="shared" si="2"/>
        <v>4.2525220375572562E-2</v>
      </c>
      <c r="T31">
        <f t="shared" si="3"/>
        <v>3.042088558081316E-2</v>
      </c>
      <c r="U31">
        <f t="shared" si="4"/>
        <v>3.7654328157121456E-2</v>
      </c>
      <c r="V31">
        <f t="shared" si="5"/>
        <v>3.916538118048226E-2</v>
      </c>
      <c r="W31">
        <f t="shared" si="6"/>
        <v>2.831461147758646E-2</v>
      </c>
      <c r="X31">
        <f t="shared" si="7"/>
        <v>3.7131962242920549E-2</v>
      </c>
      <c r="Y31">
        <f t="shared" si="8"/>
        <v>3.983809118023008E-2</v>
      </c>
      <c r="Z31">
        <f t="shared" si="9"/>
        <v>3.0464049866520199E-2</v>
      </c>
      <c r="AA31">
        <f t="shared" si="10"/>
        <v>3.9301079989463521E-2</v>
      </c>
      <c r="AB31">
        <f t="shared" si="11"/>
        <v>3.680404916847433E-2</v>
      </c>
      <c r="AC31" s="10">
        <f t="shared" si="12"/>
        <v>0</v>
      </c>
      <c r="AD31" s="10">
        <f t="shared" si="12"/>
        <v>0</v>
      </c>
      <c r="AE31" s="10">
        <f t="shared" si="12"/>
        <v>0</v>
      </c>
      <c r="AF31">
        <f t="shared" si="13"/>
        <v>-0.11270591724094083</v>
      </c>
      <c r="AG31">
        <f t="shared" si="13"/>
        <v>-3.0489061060326714E-2</v>
      </c>
      <c r="AH31">
        <f t="shared" si="13"/>
        <v>-0.11873971269360613</v>
      </c>
      <c r="AI31">
        <f t="shared" si="14"/>
        <v>-0.21622133529034657</v>
      </c>
      <c r="AJ31">
        <f t="shared" si="14"/>
        <v>-5.0643208721680245E-2</v>
      </c>
      <c r="AK31">
        <f t="shared" si="14"/>
        <v>-9.4170189149748243E-2</v>
      </c>
      <c r="AL31">
        <f t="shared" si="15"/>
        <v>-0.11066032383073236</v>
      </c>
      <c r="AM31">
        <f t="shared" si="15"/>
        <v>3.1264192815329862E-2</v>
      </c>
      <c r="AN31">
        <f t="shared" si="15"/>
        <v>-0.20845421247637588</v>
      </c>
    </row>
    <row r="32" spans="1:40" x14ac:dyDescent="0.3">
      <c r="A32" s="9"/>
      <c r="B32" t="s">
        <v>54</v>
      </c>
      <c r="C32">
        <v>2340</v>
      </c>
      <c r="D32">
        <v>3176</v>
      </c>
      <c r="E32">
        <v>2689</v>
      </c>
      <c r="F32">
        <v>3007</v>
      </c>
      <c r="G32">
        <v>3004</v>
      </c>
      <c r="H32">
        <v>4015</v>
      </c>
      <c r="I32">
        <v>3136</v>
      </c>
      <c r="J32">
        <v>2674</v>
      </c>
      <c r="K32">
        <v>3394</v>
      </c>
      <c r="L32">
        <v>2743</v>
      </c>
      <c r="M32">
        <v>2064</v>
      </c>
      <c r="N32">
        <v>2681</v>
      </c>
      <c r="P32" t="s">
        <v>54</v>
      </c>
      <c r="Q32">
        <f t="shared" si="0"/>
        <v>3.4254095120987219E-2</v>
      </c>
      <c r="R32">
        <f t="shared" si="1"/>
        <v>3.5129245982147797E-2</v>
      </c>
      <c r="S32">
        <f t="shared" si="2"/>
        <v>3.7211297621189264E-2</v>
      </c>
      <c r="T32">
        <f t="shared" si="3"/>
        <v>3.3606026062272289E-2</v>
      </c>
      <c r="U32">
        <f t="shared" si="4"/>
        <v>3.4890068409621479E-2</v>
      </c>
      <c r="V32">
        <f t="shared" si="5"/>
        <v>3.2597223349841685E-2</v>
      </c>
      <c r="W32">
        <f t="shared" si="6"/>
        <v>3.3046007292039874E-2</v>
      </c>
      <c r="X32">
        <f t="shared" si="7"/>
        <v>3.3431268362818026E-2</v>
      </c>
      <c r="Y32">
        <f t="shared" si="8"/>
        <v>3.2865941046597201E-2</v>
      </c>
      <c r="Z32">
        <f t="shared" si="9"/>
        <v>3.503685064312994E-2</v>
      </c>
      <c r="AA32">
        <f t="shared" si="10"/>
        <v>3.6245500043902014E-2</v>
      </c>
      <c r="AB32">
        <f t="shared" si="11"/>
        <v>3.2308990118100747E-2</v>
      </c>
      <c r="AC32" s="10">
        <f t="shared" si="12"/>
        <v>0</v>
      </c>
      <c r="AD32" s="10">
        <f t="shared" si="12"/>
        <v>0</v>
      </c>
      <c r="AE32" s="10">
        <f t="shared" si="12"/>
        <v>0</v>
      </c>
      <c r="AF32">
        <f t="shared" si="13"/>
        <v>-2.7556521461792143E-2</v>
      </c>
      <c r="AG32">
        <f t="shared" si="13"/>
        <v>-9.8561844789267512E-3</v>
      </c>
      <c r="AH32">
        <f t="shared" si="13"/>
        <v>-0.19099162046892459</v>
      </c>
      <c r="AI32">
        <f t="shared" si="14"/>
        <v>-5.1800502479163936E-2</v>
      </c>
      <c r="AJ32">
        <f t="shared" si="14"/>
        <v>-7.1474519731785799E-2</v>
      </c>
      <c r="AK32">
        <f t="shared" si="14"/>
        <v>-0.17914740641192942</v>
      </c>
      <c r="AL32">
        <f t="shared" si="15"/>
        <v>3.2596626833811336E-2</v>
      </c>
      <c r="AM32">
        <f t="shared" si="15"/>
        <v>4.5129281846859867E-2</v>
      </c>
      <c r="AN32">
        <f t="shared" si="15"/>
        <v>-0.20380504357057658</v>
      </c>
    </row>
    <row r="33" spans="1:40" x14ac:dyDescent="0.3">
      <c r="A33" s="9"/>
      <c r="B33" t="s">
        <v>55</v>
      </c>
      <c r="C33">
        <v>75.3</v>
      </c>
      <c r="D33">
        <v>67.62</v>
      </c>
      <c r="E33">
        <v>66.08</v>
      </c>
      <c r="F33">
        <v>60.04</v>
      </c>
      <c r="G33">
        <v>62.62</v>
      </c>
      <c r="H33">
        <v>85</v>
      </c>
      <c r="I33">
        <v>55.5</v>
      </c>
      <c r="J33">
        <v>59.99</v>
      </c>
      <c r="K33">
        <v>73.650000000000006</v>
      </c>
      <c r="L33">
        <v>33.46</v>
      </c>
      <c r="M33">
        <v>38</v>
      </c>
      <c r="N33">
        <v>59.49</v>
      </c>
      <c r="P33" t="s">
        <v>55</v>
      </c>
      <c r="Q33">
        <f t="shared" si="0"/>
        <v>1.1022792147907425E-3</v>
      </c>
      <c r="R33">
        <f t="shared" si="1"/>
        <v>7.4793438706323488E-4</v>
      </c>
      <c r="S33">
        <f t="shared" si="2"/>
        <v>9.1443754065012519E-4</v>
      </c>
      <c r="T33">
        <f t="shared" si="3"/>
        <v>6.7100292809405666E-4</v>
      </c>
      <c r="U33">
        <f t="shared" si="4"/>
        <v>7.2730229154810162E-4</v>
      </c>
      <c r="V33">
        <f t="shared" si="5"/>
        <v>6.9010310952342295E-4</v>
      </c>
      <c r="W33">
        <f t="shared" si="6"/>
        <v>5.8483845813399652E-4</v>
      </c>
      <c r="X33">
        <f t="shared" si="7"/>
        <v>7.5001562793023692E-4</v>
      </c>
      <c r="Y33">
        <f t="shared" si="8"/>
        <v>7.1319285741952977E-4</v>
      </c>
      <c r="Z33">
        <f t="shared" si="9"/>
        <v>4.2739082118816184E-4</v>
      </c>
      <c r="AA33">
        <f t="shared" si="10"/>
        <v>6.6731056282377734E-4</v>
      </c>
      <c r="AB33">
        <f t="shared" si="11"/>
        <v>7.1691973969631234E-4</v>
      </c>
      <c r="AC33" s="10">
        <f t="shared" si="12"/>
        <v>0</v>
      </c>
      <c r="AD33" s="10">
        <f t="shared" si="12"/>
        <v>0</v>
      </c>
      <c r="AE33" s="10">
        <f t="shared" si="12"/>
        <v>0</v>
      </c>
      <c r="AF33">
        <f t="shared" si="13"/>
        <v>-0.71609874750363012</v>
      </c>
      <c r="AG33">
        <f t="shared" si="13"/>
        <v>-4.0356592604947797E-2</v>
      </c>
      <c r="AH33">
        <f t="shared" si="13"/>
        <v>-0.40607269850774735</v>
      </c>
      <c r="AI33">
        <f t="shared" si="14"/>
        <v>-0.91437962555806507</v>
      </c>
      <c r="AJ33">
        <f t="shared" si="14"/>
        <v>4.0089425945458376E-3</v>
      </c>
      <c r="AK33">
        <f t="shared" si="14"/>
        <v>-0.35859237757795343</v>
      </c>
      <c r="AL33">
        <f t="shared" si="15"/>
        <v>-1.3668618850646366</v>
      </c>
      <c r="AM33">
        <f t="shared" si="15"/>
        <v>-0.16455337410850349</v>
      </c>
      <c r="AN33">
        <f t="shared" si="15"/>
        <v>-0.35107301614970621</v>
      </c>
    </row>
    <row r="34" spans="1:40" x14ac:dyDescent="0.3">
      <c r="A34" s="9"/>
      <c r="B34" t="s">
        <v>51</v>
      </c>
      <c r="C34">
        <v>1468</v>
      </c>
      <c r="D34">
        <v>1985</v>
      </c>
      <c r="E34">
        <v>1469</v>
      </c>
      <c r="F34">
        <v>1971</v>
      </c>
      <c r="G34">
        <v>1949</v>
      </c>
      <c r="H34">
        <v>2549</v>
      </c>
      <c r="I34">
        <v>2193</v>
      </c>
      <c r="J34">
        <v>1739</v>
      </c>
      <c r="K34">
        <v>2070</v>
      </c>
      <c r="L34">
        <v>1701</v>
      </c>
      <c r="M34">
        <v>1272</v>
      </c>
      <c r="N34">
        <v>1663</v>
      </c>
      <c r="P34" t="s">
        <v>51</v>
      </c>
      <c r="Q34">
        <f t="shared" si="0"/>
        <v>2.1489321212653522E-2</v>
      </c>
      <c r="R34">
        <f t="shared" si="1"/>
        <v>2.1955778738842371E-2</v>
      </c>
      <c r="S34">
        <f t="shared" si="2"/>
        <v>2.0328522203617343E-2</v>
      </c>
      <c r="T34">
        <f t="shared" si="3"/>
        <v>2.2027761013880508E-2</v>
      </c>
      <c r="U34">
        <f t="shared" si="4"/>
        <v>2.2636732133938839E-2</v>
      </c>
      <c r="V34">
        <f t="shared" si="5"/>
        <v>2.0694974425590647E-2</v>
      </c>
      <c r="W34">
        <f t="shared" si="6"/>
        <v>2.3109022318700077E-2</v>
      </c>
      <c r="X34">
        <f t="shared" si="7"/>
        <v>2.1741576545602301E-2</v>
      </c>
      <c r="Y34">
        <f t="shared" si="8"/>
        <v>2.0044931634194522E-2</v>
      </c>
      <c r="Z34">
        <f t="shared" si="9"/>
        <v>2.1727190282159692E-2</v>
      </c>
      <c r="AA34">
        <f t="shared" si="10"/>
        <v>2.2337343050311705E-2</v>
      </c>
      <c r="AB34">
        <f t="shared" si="11"/>
        <v>2.0040973728609305E-2</v>
      </c>
      <c r="AC34" s="10">
        <f t="shared" si="12"/>
        <v>0</v>
      </c>
      <c r="AD34" s="10">
        <f t="shared" si="12"/>
        <v>0</v>
      </c>
      <c r="AE34" s="10">
        <f t="shared" si="12"/>
        <v>0</v>
      </c>
      <c r="AF34">
        <f t="shared" si="13"/>
        <v>3.5702948635244806E-2</v>
      </c>
      <c r="AG34">
        <f t="shared" si="13"/>
        <v>4.4064998377329578E-2</v>
      </c>
      <c r="AH34">
        <f t="shared" si="13"/>
        <v>2.5775124465193307E-2</v>
      </c>
      <c r="AI34">
        <f t="shared" si="14"/>
        <v>0.10483631170677533</v>
      </c>
      <c r="AJ34">
        <f t="shared" si="14"/>
        <v>-1.4144147405913514E-2</v>
      </c>
      <c r="AK34">
        <f t="shared" si="14"/>
        <v>-2.0267844251312138E-2</v>
      </c>
      <c r="AL34">
        <f t="shared" si="15"/>
        <v>1.5881707276473207E-2</v>
      </c>
      <c r="AM34">
        <f t="shared" si="15"/>
        <v>2.4856886820598913E-2</v>
      </c>
      <c r="AN34">
        <f t="shared" si="15"/>
        <v>-2.0552734949275706E-2</v>
      </c>
    </row>
    <row r="35" spans="1:40" x14ac:dyDescent="0.3">
      <c r="A35" s="9"/>
      <c r="B35" t="s">
        <v>56</v>
      </c>
      <c r="C35">
        <v>1507</v>
      </c>
      <c r="D35">
        <v>2076</v>
      </c>
      <c r="E35">
        <v>1785</v>
      </c>
      <c r="F35">
        <v>2108</v>
      </c>
      <c r="G35">
        <v>2087</v>
      </c>
      <c r="H35">
        <v>2412</v>
      </c>
      <c r="I35">
        <v>2102</v>
      </c>
      <c r="J35">
        <v>2038</v>
      </c>
      <c r="K35">
        <v>1954</v>
      </c>
      <c r="L35">
        <v>1926</v>
      </c>
      <c r="M35">
        <v>1498</v>
      </c>
      <c r="N35">
        <v>1574</v>
      </c>
      <c r="P35" t="s">
        <v>56</v>
      </c>
      <c r="Q35">
        <f t="shared" si="0"/>
        <v>2.2060222798003307E-2</v>
      </c>
      <c r="R35">
        <f t="shared" si="1"/>
        <v>2.2962315698658319E-2</v>
      </c>
      <c r="S35">
        <f t="shared" si="2"/>
        <v>2.4701437803578596E-2</v>
      </c>
      <c r="T35">
        <f t="shared" si="3"/>
        <v>2.3558863631283667E-2</v>
      </c>
      <c r="U35">
        <f t="shared" si="4"/>
        <v>2.4239538206018652E-2</v>
      </c>
      <c r="V35">
        <f t="shared" si="5"/>
        <v>1.958269059024113E-2</v>
      </c>
      <c r="W35">
        <f t="shared" si="6"/>
        <v>2.215009799995785E-2</v>
      </c>
      <c r="X35">
        <f t="shared" si="7"/>
        <v>2.5479777458273425E-2</v>
      </c>
      <c r="Y35">
        <f t="shared" si="8"/>
        <v>1.8921640779331447E-2</v>
      </c>
      <c r="Z35">
        <f t="shared" si="9"/>
        <v>2.4601157250699331E-2</v>
      </c>
      <c r="AA35">
        <f t="shared" si="10"/>
        <v>2.6306084818684697E-2</v>
      </c>
      <c r="AB35">
        <f t="shared" si="11"/>
        <v>1.8968426126777536E-2</v>
      </c>
      <c r="AC35" s="10">
        <f t="shared" si="12"/>
        <v>0</v>
      </c>
      <c r="AD35" s="10">
        <f t="shared" si="12"/>
        <v>0</v>
      </c>
      <c r="AE35" s="10">
        <f t="shared" si="12"/>
        <v>0</v>
      </c>
      <c r="AF35">
        <f t="shared" si="13"/>
        <v>9.4822590474362548E-2</v>
      </c>
      <c r="AG35">
        <f t="shared" si="13"/>
        <v>7.809407195171357E-2</v>
      </c>
      <c r="AH35">
        <f t="shared" si="13"/>
        <v>-0.3350160200171059</v>
      </c>
      <c r="AI35">
        <f t="shared" si="14"/>
        <v>5.8657202407490219E-3</v>
      </c>
      <c r="AJ35">
        <f t="shared" si="14"/>
        <v>0.15008453512575223</v>
      </c>
      <c r="AK35">
        <f t="shared" si="14"/>
        <v>-0.3845578230297968</v>
      </c>
      <c r="AL35">
        <f t="shared" si="15"/>
        <v>0.15727882070193647</v>
      </c>
      <c r="AM35">
        <f t="shared" si="15"/>
        <v>0.19612840366743406</v>
      </c>
      <c r="AN35">
        <f t="shared" si="15"/>
        <v>-0.38099504108924065</v>
      </c>
    </row>
    <row r="36" spans="1:40" x14ac:dyDescent="0.3">
      <c r="A36" s="9"/>
      <c r="B36" t="s">
        <v>57</v>
      </c>
      <c r="C36">
        <v>0</v>
      </c>
      <c r="D36">
        <v>2</v>
      </c>
      <c r="E36">
        <v>1</v>
      </c>
      <c r="F36">
        <v>2</v>
      </c>
      <c r="G36">
        <v>5</v>
      </c>
      <c r="H36">
        <v>1</v>
      </c>
      <c r="I36">
        <v>3</v>
      </c>
      <c r="J36">
        <v>2</v>
      </c>
      <c r="K36">
        <v>2</v>
      </c>
      <c r="L36">
        <v>3</v>
      </c>
      <c r="M36">
        <v>1</v>
      </c>
      <c r="N36">
        <v>4</v>
      </c>
      <c r="P36" t="s">
        <v>57</v>
      </c>
      <c r="Q36">
        <f t="shared" si="0"/>
        <v>0</v>
      </c>
      <c r="R36">
        <f t="shared" si="1"/>
        <v>2.2121691424526321E-5</v>
      </c>
      <c r="S36">
        <f t="shared" si="2"/>
        <v>1.3838340506206495E-5</v>
      </c>
      <c r="T36">
        <f t="shared" si="3"/>
        <v>2.2351863027783366E-5</v>
      </c>
      <c r="U36">
        <f t="shared" si="4"/>
        <v>5.8072683771007794E-5</v>
      </c>
      <c r="V36">
        <f t="shared" si="5"/>
        <v>8.1188601120402701E-6</v>
      </c>
      <c r="W36">
        <f t="shared" si="6"/>
        <v>3.1612889628864677E-5</v>
      </c>
      <c r="X36">
        <f t="shared" si="7"/>
        <v>2.5004688379071074E-5</v>
      </c>
      <c r="Y36">
        <f t="shared" si="8"/>
        <v>1.9367083704535771E-5</v>
      </c>
      <c r="Z36">
        <f t="shared" si="9"/>
        <v>3.8319559580528551E-5</v>
      </c>
      <c r="AA36">
        <f t="shared" si="10"/>
        <v>1.7560804284836245E-5</v>
      </c>
      <c r="AB36">
        <f t="shared" si="11"/>
        <v>4.8204386599180526E-5</v>
      </c>
      <c r="AC36" s="10" t="e">
        <f t="shared" si="12"/>
        <v>#DIV/0!</v>
      </c>
      <c r="AD36" s="10">
        <f t="shared" si="12"/>
        <v>0</v>
      </c>
      <c r="AE36" s="10">
        <f t="shared" si="12"/>
        <v>0</v>
      </c>
      <c r="AF36" t="e">
        <f t="shared" si="13"/>
        <v>#DIV/0!</v>
      </c>
      <c r="AG36">
        <f t="shared" si="13"/>
        <v>1.3923980100371218</v>
      </c>
      <c r="AH36">
        <f t="shared" si="13"/>
        <v>-0.76932185300072853</v>
      </c>
      <c r="AI36" t="e">
        <f t="shared" si="14"/>
        <v>#DIV/0!</v>
      </c>
      <c r="AJ36">
        <f t="shared" si="14"/>
        <v>0.17673692731781929</v>
      </c>
      <c r="AK36">
        <f t="shared" si="14"/>
        <v>0.48493578391828041</v>
      </c>
      <c r="AL36" t="e">
        <f t="shared" si="15"/>
        <v>#DIV/0!</v>
      </c>
      <c r="AM36">
        <f t="shared" si="15"/>
        <v>-0.33310277643343655</v>
      </c>
      <c r="AN36">
        <f t="shared" si="15"/>
        <v>1.8004934923197353</v>
      </c>
    </row>
    <row r="37" spans="1:40" x14ac:dyDescent="0.3">
      <c r="A37" s="9"/>
      <c r="B37" t="s">
        <v>58</v>
      </c>
      <c r="C37">
        <v>5</v>
      </c>
      <c r="D37">
        <v>1</v>
      </c>
      <c r="E37">
        <v>1</v>
      </c>
      <c r="F37">
        <v>2</v>
      </c>
      <c r="G37">
        <v>0</v>
      </c>
      <c r="H37">
        <v>1</v>
      </c>
      <c r="I37">
        <v>2</v>
      </c>
      <c r="J37">
        <v>2</v>
      </c>
      <c r="K37">
        <v>5</v>
      </c>
      <c r="L37">
        <v>3</v>
      </c>
      <c r="M37">
        <v>1</v>
      </c>
      <c r="N37">
        <v>2</v>
      </c>
      <c r="P37" t="s">
        <v>58</v>
      </c>
      <c r="Q37">
        <f t="shared" si="0"/>
        <v>7.3192510942280388E-5</v>
      </c>
      <c r="R37">
        <f t="shared" si="1"/>
        <v>1.106084571226316E-5</v>
      </c>
      <c r="S37">
        <f t="shared" si="2"/>
        <v>1.3838340506206495E-5</v>
      </c>
      <c r="T37">
        <f t="shared" si="3"/>
        <v>2.2351863027783366E-5</v>
      </c>
      <c r="U37">
        <f t="shared" si="4"/>
        <v>0</v>
      </c>
      <c r="V37">
        <f t="shared" si="5"/>
        <v>8.1188601120402701E-6</v>
      </c>
      <c r="W37">
        <f t="shared" si="6"/>
        <v>2.107525975257645E-5</v>
      </c>
      <c r="X37">
        <f t="shared" si="7"/>
        <v>2.5004688379071074E-5</v>
      </c>
      <c r="Y37">
        <f t="shared" si="8"/>
        <v>4.8417709261339426E-5</v>
      </c>
      <c r="Z37">
        <f t="shared" si="9"/>
        <v>3.8319559580528551E-5</v>
      </c>
      <c r="AA37">
        <f t="shared" si="10"/>
        <v>1.7560804284836245E-5</v>
      </c>
      <c r="AB37">
        <f t="shared" si="11"/>
        <v>2.4102193299590263E-5</v>
      </c>
      <c r="AC37" s="10">
        <f t="shared" si="12"/>
        <v>0</v>
      </c>
      <c r="AD37" s="10">
        <f t="shared" si="12"/>
        <v>0</v>
      </c>
      <c r="AE37" s="10">
        <f t="shared" si="12"/>
        <v>0</v>
      </c>
      <c r="AF37">
        <f t="shared" si="13"/>
        <v>-1.7113009544523905</v>
      </c>
      <c r="AG37" t="e">
        <f t="shared" si="13"/>
        <v>#NUM!</v>
      </c>
      <c r="AH37">
        <f t="shared" si="13"/>
        <v>-0.76932185300072853</v>
      </c>
      <c r="AI37">
        <f t="shared" si="14"/>
        <v>-1.7961456270109679</v>
      </c>
      <c r="AJ37">
        <f t="shared" si="14"/>
        <v>1.1767369273178194</v>
      </c>
      <c r="AK37">
        <f t="shared" si="14"/>
        <v>1.8068638788056426</v>
      </c>
      <c r="AL37">
        <f t="shared" si="15"/>
        <v>-0.9336150597099051</v>
      </c>
      <c r="AM37">
        <f t="shared" si="15"/>
        <v>0.66689722356656356</v>
      </c>
      <c r="AN37">
        <f t="shared" si="15"/>
        <v>0.80049349231973521</v>
      </c>
    </row>
    <row r="38" spans="1:40" x14ac:dyDescent="0.3">
      <c r="A38" s="9"/>
      <c r="B38" t="s">
        <v>59</v>
      </c>
      <c r="C38">
        <v>11</v>
      </c>
      <c r="D38">
        <v>19</v>
      </c>
      <c r="E38">
        <v>10</v>
      </c>
      <c r="F38">
        <v>14</v>
      </c>
      <c r="G38">
        <v>18</v>
      </c>
      <c r="H38">
        <v>16</v>
      </c>
      <c r="I38">
        <v>14</v>
      </c>
      <c r="J38">
        <v>17</v>
      </c>
      <c r="K38">
        <v>14</v>
      </c>
      <c r="L38">
        <v>14</v>
      </c>
      <c r="M38">
        <v>7</v>
      </c>
      <c r="N38">
        <v>10</v>
      </c>
      <c r="P38" t="s">
        <v>59</v>
      </c>
      <c r="Q38">
        <f t="shared" si="0"/>
        <v>1.6102352407301686E-4</v>
      </c>
      <c r="R38">
        <f t="shared" si="1"/>
        <v>2.1015606853300002E-4</v>
      </c>
      <c r="S38">
        <f t="shared" si="2"/>
        <v>1.3838340506206495E-4</v>
      </c>
      <c r="T38">
        <f t="shared" si="3"/>
        <v>1.5646304119448356E-4</v>
      </c>
      <c r="U38">
        <f t="shared" si="4"/>
        <v>2.0906166157562804E-4</v>
      </c>
      <c r="V38">
        <f t="shared" si="5"/>
        <v>1.2990176179264432E-4</v>
      </c>
      <c r="W38">
        <f t="shared" si="6"/>
        <v>1.4752681826803515E-4</v>
      </c>
      <c r="X38">
        <f t="shared" si="7"/>
        <v>2.1253985122210415E-4</v>
      </c>
      <c r="Y38">
        <f t="shared" si="8"/>
        <v>1.355695859317504E-4</v>
      </c>
      <c r="Z38">
        <f t="shared" si="9"/>
        <v>1.7882461137579993E-4</v>
      </c>
      <c r="AA38">
        <f t="shared" si="10"/>
        <v>1.2292562999385371E-4</v>
      </c>
      <c r="AB38">
        <f t="shared" si="11"/>
        <v>1.2051096649795132E-4</v>
      </c>
      <c r="AC38" s="10">
        <f t="shared" si="12"/>
        <v>0</v>
      </c>
      <c r="AD38" s="10">
        <f t="shared" si="12"/>
        <v>0</v>
      </c>
      <c r="AE38" s="10">
        <f t="shared" si="12"/>
        <v>0</v>
      </c>
      <c r="AF38">
        <f t="shared" si="13"/>
        <v>-4.1449556144721476E-2</v>
      </c>
      <c r="AG38">
        <f t="shared" si="13"/>
        <v>-7.5325968515136494E-3</v>
      </c>
      <c r="AH38">
        <f t="shared" si="13"/>
        <v>-9.1249947888090904E-2</v>
      </c>
      <c r="AI38">
        <f t="shared" si="14"/>
        <v>-0.12629422870329851</v>
      </c>
      <c r="AJ38">
        <f t="shared" si="14"/>
        <v>1.6272255124573386E-2</v>
      </c>
      <c r="AK38">
        <f t="shared" si="14"/>
        <v>-2.9637388911477814E-2</v>
      </c>
      <c r="AL38">
        <f t="shared" si="15"/>
        <v>0.15127383787660781</v>
      </c>
      <c r="AM38">
        <f t="shared" si="15"/>
        <v>-0.7736753678194177</v>
      </c>
      <c r="AN38">
        <f t="shared" si="15"/>
        <v>-0.19950650768026482</v>
      </c>
    </row>
    <row r="39" spans="1:40" x14ac:dyDescent="0.3">
      <c r="A39" s="9"/>
      <c r="B39" t="s">
        <v>60</v>
      </c>
      <c r="C39">
        <v>0</v>
      </c>
      <c r="D39">
        <v>2</v>
      </c>
      <c r="E39">
        <v>0</v>
      </c>
      <c r="F39">
        <v>1</v>
      </c>
      <c r="G39">
        <v>1</v>
      </c>
      <c r="H39">
        <v>3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P39" t="s">
        <v>60</v>
      </c>
      <c r="Q39">
        <f t="shared" si="0"/>
        <v>0</v>
      </c>
      <c r="R39">
        <f t="shared" si="1"/>
        <v>2.2121691424526321E-5</v>
      </c>
      <c r="S39">
        <f t="shared" si="2"/>
        <v>0</v>
      </c>
      <c r="T39">
        <f t="shared" si="3"/>
        <v>1.1175931513891683E-5</v>
      </c>
      <c r="U39">
        <f t="shared" si="4"/>
        <v>1.1614536754201559E-5</v>
      </c>
      <c r="V39">
        <f t="shared" si="5"/>
        <v>2.4356580336120809E-5</v>
      </c>
      <c r="W39">
        <f t="shared" si="6"/>
        <v>1.0537629876288225E-5</v>
      </c>
      <c r="X39">
        <f t="shared" si="7"/>
        <v>0</v>
      </c>
      <c r="Y39">
        <f t="shared" si="8"/>
        <v>0</v>
      </c>
      <c r="Z39">
        <f t="shared" si="9"/>
        <v>0</v>
      </c>
      <c r="AA39">
        <f t="shared" si="10"/>
        <v>1.7560804284836245E-5</v>
      </c>
      <c r="AB39">
        <f t="shared" si="11"/>
        <v>0</v>
      </c>
      <c r="AC39" s="10" t="e">
        <f t="shared" si="12"/>
        <v>#DIV/0!</v>
      </c>
      <c r="AD39" s="10">
        <f t="shared" si="12"/>
        <v>0</v>
      </c>
      <c r="AE39" s="10" t="e">
        <f t="shared" si="12"/>
        <v>#DIV/0!</v>
      </c>
      <c r="AF39" t="e">
        <f t="shared" si="13"/>
        <v>#DIV/0!</v>
      </c>
      <c r="AG39">
        <f t="shared" si="13"/>
        <v>-0.92953008485024058</v>
      </c>
      <c r="AH39" t="e">
        <f t="shared" si="13"/>
        <v>#DIV/0!</v>
      </c>
      <c r="AI39" t="e">
        <f t="shared" si="14"/>
        <v>#DIV/0!</v>
      </c>
      <c r="AJ39" t="e">
        <f t="shared" si="14"/>
        <v>#NUM!</v>
      </c>
      <c r="AK39" t="e">
        <f t="shared" si="14"/>
        <v>#DIV/0!</v>
      </c>
      <c r="AL39" t="e">
        <f t="shared" si="15"/>
        <v>#DIV/0!</v>
      </c>
      <c r="AM39">
        <f t="shared" si="15"/>
        <v>-0.33310277643343655</v>
      </c>
      <c r="AN39" t="e">
        <f t="shared" si="15"/>
        <v>#DIV/0!</v>
      </c>
    </row>
    <row r="40" spans="1:40" x14ac:dyDescent="0.3">
      <c r="A40" s="9"/>
      <c r="B40" t="s">
        <v>61</v>
      </c>
      <c r="C40">
        <v>391.62</v>
      </c>
      <c r="D40">
        <v>553.70000000000005</v>
      </c>
      <c r="E40">
        <v>466.23</v>
      </c>
      <c r="F40">
        <v>481.84</v>
      </c>
      <c r="G40">
        <v>510.54</v>
      </c>
      <c r="H40">
        <v>732.38</v>
      </c>
      <c r="I40">
        <v>478.2</v>
      </c>
      <c r="J40">
        <v>447.73</v>
      </c>
      <c r="K40">
        <v>572.16</v>
      </c>
      <c r="L40">
        <v>477.19</v>
      </c>
      <c r="M40">
        <v>337.36</v>
      </c>
      <c r="N40">
        <v>452.52</v>
      </c>
      <c r="P40" t="s">
        <v>61</v>
      </c>
      <c r="Q40">
        <f t="shared" si="0"/>
        <v>5.7327302270431691E-3</v>
      </c>
      <c r="R40">
        <f t="shared" si="1"/>
        <v>6.1243902708801121E-3</v>
      </c>
      <c r="S40">
        <f t="shared" si="2"/>
        <v>6.4518494942086549E-3</v>
      </c>
      <c r="T40">
        <f t="shared" si="3"/>
        <v>5.3850108406535684E-3</v>
      </c>
      <c r="U40">
        <f t="shared" si="4"/>
        <v>5.9296855944900636E-3</v>
      </c>
      <c r="V40">
        <f t="shared" si="5"/>
        <v>5.9460907688560528E-3</v>
      </c>
      <c r="W40">
        <f t="shared" si="6"/>
        <v>5.0390946068410289E-3</v>
      </c>
      <c r="X40">
        <f t="shared" si="7"/>
        <v>5.5976745639807462E-3</v>
      </c>
      <c r="Y40">
        <f t="shared" si="8"/>
        <v>5.5405353061935931E-3</v>
      </c>
      <c r="Z40">
        <f t="shared" si="9"/>
        <v>6.0952368787441404E-3</v>
      </c>
      <c r="AA40">
        <f t="shared" si="10"/>
        <v>5.9243129335323557E-3</v>
      </c>
      <c r="AB40">
        <f t="shared" si="11"/>
        <v>5.453362255965293E-3</v>
      </c>
      <c r="AC40" s="10">
        <f t="shared" si="12"/>
        <v>0</v>
      </c>
      <c r="AD40" s="10">
        <f t="shared" si="12"/>
        <v>0</v>
      </c>
      <c r="AE40" s="10">
        <f t="shared" si="12"/>
        <v>0</v>
      </c>
      <c r="AF40">
        <f t="shared" si="13"/>
        <v>-9.027314066722493E-2</v>
      </c>
      <c r="AG40">
        <f t="shared" si="13"/>
        <v>-4.6610608316904556E-2</v>
      </c>
      <c r="AH40">
        <f t="shared" si="13"/>
        <v>-0.11777129777119349</v>
      </c>
      <c r="AI40">
        <f t="shared" si="14"/>
        <v>-0.18605784720980464</v>
      </c>
      <c r="AJ40">
        <f t="shared" si="14"/>
        <v>-0.1297386057680793</v>
      </c>
      <c r="AK40">
        <f t="shared" si="14"/>
        <v>-0.21968741344642739</v>
      </c>
      <c r="AL40">
        <f t="shared" si="15"/>
        <v>8.8459899533975456E-2</v>
      </c>
      <c r="AM40">
        <f t="shared" si="15"/>
        <v>-4.7918371572061261E-2</v>
      </c>
      <c r="AN40">
        <f t="shared" si="15"/>
        <v>-0.24256679036547016</v>
      </c>
    </row>
    <row r="41" spans="1:40" x14ac:dyDescent="0.3">
      <c r="A41" s="9"/>
      <c r="B41" t="s">
        <v>62</v>
      </c>
      <c r="C41">
        <v>474</v>
      </c>
      <c r="D41">
        <v>417</v>
      </c>
      <c r="E41">
        <v>172</v>
      </c>
      <c r="F41">
        <v>601</v>
      </c>
      <c r="G41">
        <v>426</v>
      </c>
      <c r="H41">
        <v>271</v>
      </c>
      <c r="I41">
        <v>629</v>
      </c>
      <c r="J41">
        <v>378</v>
      </c>
      <c r="K41">
        <v>181</v>
      </c>
      <c r="L41">
        <v>483</v>
      </c>
      <c r="M41">
        <v>247</v>
      </c>
      <c r="N41">
        <v>109</v>
      </c>
      <c r="P41" t="s">
        <v>62</v>
      </c>
      <c r="Q41">
        <f t="shared" si="0"/>
        <v>6.9386500373281807E-3</v>
      </c>
      <c r="R41">
        <f t="shared" si="1"/>
        <v>4.6123726620137372E-3</v>
      </c>
      <c r="S41">
        <f t="shared" si="2"/>
        <v>2.380194567067517E-3</v>
      </c>
      <c r="T41">
        <f t="shared" si="3"/>
        <v>6.7167348398489016E-3</v>
      </c>
      <c r="U41">
        <f t="shared" si="4"/>
        <v>4.9477926572898644E-3</v>
      </c>
      <c r="V41">
        <f t="shared" si="5"/>
        <v>2.200211090362913E-3</v>
      </c>
      <c r="W41">
        <f t="shared" si="6"/>
        <v>6.6281691921852934E-3</v>
      </c>
      <c r="X41">
        <f t="shared" si="7"/>
        <v>4.7258861036444336E-3</v>
      </c>
      <c r="Y41">
        <f t="shared" si="8"/>
        <v>1.7527210752604873E-3</v>
      </c>
      <c r="Z41">
        <f t="shared" si="9"/>
        <v>6.1694490924650977E-3</v>
      </c>
      <c r="AA41">
        <f t="shared" si="10"/>
        <v>4.3375186583545526E-3</v>
      </c>
      <c r="AB41">
        <f t="shared" si="11"/>
        <v>1.3135695348276692E-3</v>
      </c>
      <c r="AC41" s="10">
        <f t="shared" si="12"/>
        <v>0</v>
      </c>
      <c r="AD41" s="10">
        <f t="shared" si="12"/>
        <v>0</v>
      </c>
      <c r="AE41" s="10">
        <f t="shared" si="12"/>
        <v>0</v>
      </c>
      <c r="AF41">
        <f t="shared" si="13"/>
        <v>-4.6894927752101905E-2</v>
      </c>
      <c r="AG41">
        <f t="shared" si="13"/>
        <v>0.10127596193093441</v>
      </c>
      <c r="AH41">
        <f t="shared" si="13"/>
        <v>-0.11343756634895485</v>
      </c>
      <c r="AI41">
        <f t="shared" si="14"/>
        <v>-6.6044574142575307E-2</v>
      </c>
      <c r="AJ41">
        <f t="shared" si="14"/>
        <v>3.5075778094228738E-2</v>
      </c>
      <c r="AK41">
        <f t="shared" si="14"/>
        <v>-0.44148308370061212</v>
      </c>
      <c r="AL41">
        <f t="shared" si="15"/>
        <v>-0.16951333560618487</v>
      </c>
      <c r="AM41">
        <f t="shared" si="15"/>
        <v>-8.8639118293422192E-2</v>
      </c>
      <c r="AN41">
        <f t="shared" si="15"/>
        <v>-0.85758693760543636</v>
      </c>
    </row>
    <row r="42" spans="1:40" x14ac:dyDescent="0.3">
      <c r="A42" s="9"/>
      <c r="B42" t="s">
        <v>63</v>
      </c>
      <c r="C42">
        <v>202</v>
      </c>
      <c r="D42">
        <v>204</v>
      </c>
      <c r="E42">
        <v>163</v>
      </c>
      <c r="F42">
        <v>249</v>
      </c>
      <c r="G42">
        <v>213</v>
      </c>
      <c r="H42">
        <v>335</v>
      </c>
      <c r="I42">
        <v>207</v>
      </c>
      <c r="J42">
        <v>192</v>
      </c>
      <c r="K42">
        <v>251</v>
      </c>
      <c r="L42">
        <v>186</v>
      </c>
      <c r="M42">
        <v>112</v>
      </c>
      <c r="N42">
        <v>216</v>
      </c>
      <c r="P42" t="s">
        <v>63</v>
      </c>
      <c r="Q42">
        <f t="shared" si="0"/>
        <v>2.9569774420681277E-3</v>
      </c>
      <c r="R42">
        <f t="shared" si="1"/>
        <v>2.2564125253016847E-3</v>
      </c>
      <c r="S42">
        <f t="shared" si="2"/>
        <v>2.2556495025116588E-3</v>
      </c>
      <c r="T42">
        <f t="shared" si="3"/>
        <v>2.7828069469590291E-3</v>
      </c>
      <c r="U42">
        <f t="shared" si="4"/>
        <v>2.4738963286449322E-3</v>
      </c>
      <c r="V42">
        <f t="shared" si="5"/>
        <v>2.7198181375334904E-3</v>
      </c>
      <c r="W42">
        <f t="shared" si="6"/>
        <v>2.1812893843916625E-3</v>
      </c>
      <c r="X42">
        <f t="shared" si="7"/>
        <v>2.4004500843908235E-3</v>
      </c>
      <c r="Y42">
        <f t="shared" si="8"/>
        <v>2.4305690049192391E-3</v>
      </c>
      <c r="Z42">
        <f t="shared" si="9"/>
        <v>2.3758126939927705E-3</v>
      </c>
      <c r="AA42">
        <f t="shared" si="10"/>
        <v>1.9668100799016593E-3</v>
      </c>
      <c r="AB42">
        <f t="shared" si="11"/>
        <v>2.6030368763557484E-3</v>
      </c>
      <c r="AC42" s="10">
        <f t="shared" si="12"/>
        <v>0</v>
      </c>
      <c r="AD42" s="10">
        <f t="shared" si="12"/>
        <v>0</v>
      </c>
      <c r="AE42" s="10">
        <f t="shared" si="12"/>
        <v>0</v>
      </c>
      <c r="AF42">
        <f t="shared" si="13"/>
        <v>-8.7582410248742068E-2</v>
      </c>
      <c r="AG42">
        <f t="shared" si="13"/>
        <v>0.1327541934041023</v>
      </c>
      <c r="AH42">
        <f t="shared" si="13"/>
        <v>0.2699672781133286</v>
      </c>
      <c r="AI42">
        <f t="shared" si="14"/>
        <v>-0.43894205737607511</v>
      </c>
      <c r="AJ42">
        <f t="shared" si="14"/>
        <v>8.9274086067479941E-2</v>
      </c>
      <c r="AK42">
        <f t="shared" si="14"/>
        <v>0.10775118363797455</v>
      </c>
      <c r="AL42">
        <f t="shared" si="15"/>
        <v>-0.31570213718746237</v>
      </c>
      <c r="AM42">
        <f t="shared" si="15"/>
        <v>-0.19817319634732811</v>
      </c>
      <c r="AN42">
        <f t="shared" si="15"/>
        <v>0.20665284025212605</v>
      </c>
    </row>
    <row r="43" spans="1:40" x14ac:dyDescent="0.3">
      <c r="A43" s="9"/>
      <c r="B43" t="s">
        <v>64</v>
      </c>
      <c r="C43">
        <v>28</v>
      </c>
      <c r="D43">
        <v>83</v>
      </c>
      <c r="E43">
        <v>54</v>
      </c>
      <c r="F43">
        <v>51</v>
      </c>
      <c r="G43">
        <v>51</v>
      </c>
      <c r="H43">
        <v>115</v>
      </c>
      <c r="I43">
        <v>35</v>
      </c>
      <c r="J43">
        <v>48</v>
      </c>
      <c r="K43">
        <v>91</v>
      </c>
      <c r="L43">
        <v>30</v>
      </c>
      <c r="M43">
        <v>37</v>
      </c>
      <c r="N43">
        <v>102</v>
      </c>
      <c r="P43" t="s">
        <v>64</v>
      </c>
      <c r="Q43">
        <f t="shared" si="0"/>
        <v>4.0987806127677014E-4</v>
      </c>
      <c r="R43">
        <f t="shared" si="1"/>
        <v>9.1805019411784225E-4</v>
      </c>
      <c r="S43">
        <f t="shared" si="2"/>
        <v>7.4727038733515079E-4</v>
      </c>
      <c r="T43">
        <f t="shared" si="3"/>
        <v>5.6997250720847582E-4</v>
      </c>
      <c r="U43">
        <f t="shared" si="4"/>
        <v>5.9234137446427949E-4</v>
      </c>
      <c r="V43">
        <f t="shared" si="5"/>
        <v>9.3366891288463097E-4</v>
      </c>
      <c r="W43">
        <f t="shared" si="6"/>
        <v>3.688170456700879E-4</v>
      </c>
      <c r="X43">
        <f t="shared" si="7"/>
        <v>6.0011252109770587E-4</v>
      </c>
      <c r="Y43">
        <f t="shared" si="8"/>
        <v>8.8120230855637759E-4</v>
      </c>
      <c r="Z43">
        <f t="shared" si="9"/>
        <v>3.8319559580528555E-4</v>
      </c>
      <c r="AA43">
        <f t="shared" si="10"/>
        <v>6.4974975853894111E-4</v>
      </c>
      <c r="AB43">
        <f t="shared" si="11"/>
        <v>1.2292118582791034E-3</v>
      </c>
      <c r="AC43" s="10">
        <f t="shared" si="12"/>
        <v>0</v>
      </c>
      <c r="AD43" s="10">
        <f t="shared" si="12"/>
        <v>0</v>
      </c>
      <c r="AE43" s="10">
        <f t="shared" si="12"/>
        <v>0</v>
      </c>
      <c r="AF43">
        <f t="shared" si="13"/>
        <v>0.47569756034886335</v>
      </c>
      <c r="AG43">
        <f t="shared" si="13"/>
        <v>-0.6321441742256696</v>
      </c>
      <c r="AH43">
        <f t="shared" si="13"/>
        <v>0.32128069578017804</v>
      </c>
      <c r="AI43">
        <f t="shared" si="14"/>
        <v>-0.15228943723624283</v>
      </c>
      <c r="AJ43">
        <f t="shared" si="14"/>
        <v>-0.61334000330794902</v>
      </c>
      <c r="AK43">
        <f t="shared" si="14"/>
        <v>0.23784292195350806</v>
      </c>
      <c r="AL43">
        <f t="shared" si="15"/>
        <v>-9.7113791992784457E-2</v>
      </c>
      <c r="AM43">
        <f t="shared" si="15"/>
        <v>-0.49868884215141124</v>
      </c>
      <c r="AN43">
        <f t="shared" si="15"/>
        <v>0.71803133212776205</v>
      </c>
    </row>
    <row r="44" spans="1:40" x14ac:dyDescent="0.3">
      <c r="A44" s="9"/>
      <c r="B44" t="s">
        <v>65</v>
      </c>
      <c r="C44">
        <v>1</v>
      </c>
      <c r="D44">
        <v>0</v>
      </c>
      <c r="E44">
        <v>0</v>
      </c>
      <c r="F44">
        <v>2</v>
      </c>
      <c r="G44">
        <v>1</v>
      </c>
      <c r="H44">
        <v>0</v>
      </c>
      <c r="I44">
        <v>3</v>
      </c>
      <c r="J44">
        <v>2</v>
      </c>
      <c r="K44">
        <v>1</v>
      </c>
      <c r="L44">
        <v>0</v>
      </c>
      <c r="M44">
        <v>0</v>
      </c>
      <c r="N44">
        <v>1</v>
      </c>
      <c r="P44" t="s">
        <v>65</v>
      </c>
      <c r="Q44">
        <f t="shared" si="0"/>
        <v>1.4638502188456077E-5</v>
      </c>
      <c r="R44">
        <f t="shared" si="1"/>
        <v>0</v>
      </c>
      <c r="S44">
        <f t="shared" si="2"/>
        <v>0</v>
      </c>
      <c r="T44">
        <f t="shared" si="3"/>
        <v>2.2351863027783366E-5</v>
      </c>
      <c r="U44">
        <f t="shared" si="4"/>
        <v>1.1614536754201559E-5</v>
      </c>
      <c r="V44">
        <f t="shared" si="5"/>
        <v>0</v>
      </c>
      <c r="W44">
        <f t="shared" si="6"/>
        <v>3.1612889628864677E-5</v>
      </c>
      <c r="X44">
        <f t="shared" si="7"/>
        <v>2.5004688379071074E-5</v>
      </c>
      <c r="Y44">
        <f t="shared" si="8"/>
        <v>9.6835418522678855E-6</v>
      </c>
      <c r="Z44">
        <f t="shared" si="9"/>
        <v>0</v>
      </c>
      <c r="AA44">
        <f t="shared" si="10"/>
        <v>0</v>
      </c>
      <c r="AB44">
        <f t="shared" si="11"/>
        <v>1.2051096649795132E-5</v>
      </c>
      <c r="AC44" s="10">
        <f t="shared" si="12"/>
        <v>0</v>
      </c>
      <c r="AD44" s="10" t="e">
        <f t="shared" si="12"/>
        <v>#DIV/0!</v>
      </c>
      <c r="AE44" s="10" t="e">
        <f t="shared" si="12"/>
        <v>#DIV/0!</v>
      </c>
      <c r="AF44">
        <f t="shared" si="13"/>
        <v>0.61062714043497179</v>
      </c>
      <c r="AG44" t="e">
        <f t="shared" si="13"/>
        <v>#DIV/0!</v>
      </c>
      <c r="AH44" t="e">
        <f t="shared" si="13"/>
        <v>#DIV/0!</v>
      </c>
      <c r="AI44">
        <f t="shared" si="14"/>
        <v>1.110744968597551</v>
      </c>
      <c r="AJ44" t="e">
        <f t="shared" si="14"/>
        <v>#DIV/0!</v>
      </c>
      <c r="AK44" t="e">
        <f t="shared" si="14"/>
        <v>#DIV/0!</v>
      </c>
      <c r="AL44" t="e">
        <f t="shared" si="15"/>
        <v>#NUM!</v>
      </c>
      <c r="AM44" t="e">
        <f t="shared" si="15"/>
        <v>#DIV/0!</v>
      </c>
      <c r="AN44" t="e">
        <f t="shared" si="15"/>
        <v>#DIV/0!</v>
      </c>
    </row>
    <row r="45" spans="1:40" x14ac:dyDescent="0.3">
      <c r="A45" s="9"/>
      <c r="B45" t="s">
        <v>66</v>
      </c>
      <c r="C45">
        <v>70</v>
      </c>
      <c r="D45">
        <v>111</v>
      </c>
      <c r="E45">
        <v>48</v>
      </c>
      <c r="F45">
        <v>98</v>
      </c>
      <c r="G45">
        <v>98</v>
      </c>
      <c r="H45">
        <v>109</v>
      </c>
      <c r="I45">
        <v>109</v>
      </c>
      <c r="J45">
        <v>89</v>
      </c>
      <c r="K45">
        <v>92</v>
      </c>
      <c r="L45">
        <v>79</v>
      </c>
      <c r="M45">
        <v>57</v>
      </c>
      <c r="N45">
        <v>90</v>
      </c>
      <c r="P45" t="s">
        <v>66</v>
      </c>
      <c r="Q45">
        <f t="shared" si="0"/>
        <v>1.0246951531919255E-3</v>
      </c>
      <c r="R45">
        <f t="shared" si="1"/>
        <v>1.2277538740612108E-3</v>
      </c>
      <c r="S45">
        <f t="shared" si="2"/>
        <v>6.6424034429791176E-4</v>
      </c>
      <c r="T45">
        <f t="shared" si="3"/>
        <v>1.095241288361385E-3</v>
      </c>
      <c r="U45">
        <f t="shared" si="4"/>
        <v>1.1382246019117528E-3</v>
      </c>
      <c r="V45">
        <f t="shared" si="5"/>
        <v>8.8495575221238937E-4</v>
      </c>
      <c r="W45">
        <f t="shared" si="6"/>
        <v>1.1486016565154166E-3</v>
      </c>
      <c r="X45">
        <f t="shared" si="7"/>
        <v>1.1127086328686629E-3</v>
      </c>
      <c r="Y45">
        <f t="shared" si="8"/>
        <v>8.9088585040864542E-4</v>
      </c>
      <c r="Z45">
        <f t="shared" si="9"/>
        <v>1.0090817356205853E-3</v>
      </c>
      <c r="AA45">
        <f t="shared" si="10"/>
        <v>1.0009658442356659E-3</v>
      </c>
      <c r="AB45">
        <f t="shared" si="11"/>
        <v>1.0845986984815619E-3</v>
      </c>
      <c r="AC45" s="10">
        <f t="shared" si="12"/>
        <v>0</v>
      </c>
      <c r="AD45" s="10">
        <f t="shared" si="12"/>
        <v>0</v>
      </c>
      <c r="AE45" s="10">
        <f t="shared" si="12"/>
        <v>0</v>
      </c>
      <c r="AF45">
        <f t="shared" si="13"/>
        <v>9.6053967605213592E-2</v>
      </c>
      <c r="AG45">
        <f t="shared" si="13"/>
        <v>-0.10923610708513827</v>
      </c>
      <c r="AH45">
        <f t="shared" si="13"/>
        <v>0.41389997105504173</v>
      </c>
      <c r="AI45">
        <f t="shared" si="14"/>
        <v>0.16468377570835444</v>
      </c>
      <c r="AJ45">
        <f t="shared" si="14"/>
        <v>-0.14194550806588901</v>
      </c>
      <c r="AK45">
        <f t="shared" si="14"/>
        <v>0.42353523925413689</v>
      </c>
      <c r="AL45">
        <f t="shared" si="15"/>
        <v>-2.2151734311562522E-2</v>
      </c>
      <c r="AM45">
        <f t="shared" si="15"/>
        <v>-0.2946286286188009</v>
      </c>
      <c r="AN45">
        <f t="shared" si="15"/>
        <v>0.7073840879282538</v>
      </c>
    </row>
    <row r="46" spans="1:40" x14ac:dyDescent="0.3">
      <c r="A46" s="9"/>
      <c r="B46" t="s">
        <v>67</v>
      </c>
      <c r="C46">
        <v>10</v>
      </c>
      <c r="D46">
        <v>14</v>
      </c>
      <c r="E46">
        <v>19</v>
      </c>
      <c r="F46">
        <v>21</v>
      </c>
      <c r="G46">
        <v>22</v>
      </c>
      <c r="H46">
        <v>25</v>
      </c>
      <c r="I46">
        <v>18</v>
      </c>
      <c r="J46">
        <v>13</v>
      </c>
      <c r="K46">
        <v>30</v>
      </c>
      <c r="L46">
        <v>17</v>
      </c>
      <c r="M46">
        <v>12</v>
      </c>
      <c r="N46">
        <v>28</v>
      </c>
      <c r="P46" t="s">
        <v>67</v>
      </c>
      <c r="Q46">
        <f t="shared" si="0"/>
        <v>1.4638502188456078E-4</v>
      </c>
      <c r="R46">
        <f t="shared" si="1"/>
        <v>1.5485183997168423E-4</v>
      </c>
      <c r="S46">
        <f t="shared" si="2"/>
        <v>2.6292846961792343E-4</v>
      </c>
      <c r="T46">
        <f t="shared" si="3"/>
        <v>2.3469456179172534E-4</v>
      </c>
      <c r="U46">
        <f t="shared" si="4"/>
        <v>2.5551980859243428E-4</v>
      </c>
      <c r="V46">
        <f t="shared" si="5"/>
        <v>2.0297150280100673E-4</v>
      </c>
      <c r="W46">
        <f t="shared" si="6"/>
        <v>1.8967733777318805E-4</v>
      </c>
      <c r="X46">
        <f t="shared" si="7"/>
        <v>1.6253047446396199E-4</v>
      </c>
      <c r="Y46">
        <f t="shared" si="8"/>
        <v>2.9050625556803657E-4</v>
      </c>
      <c r="Z46">
        <f t="shared" si="9"/>
        <v>2.1714417095632847E-4</v>
      </c>
      <c r="AA46">
        <f t="shared" si="10"/>
        <v>2.1072965141803496E-4</v>
      </c>
      <c r="AB46">
        <f t="shared" si="11"/>
        <v>3.3743070619426366E-4</v>
      </c>
      <c r="AC46" s="10">
        <f t="shared" si="12"/>
        <v>0</v>
      </c>
      <c r="AD46" s="10">
        <f t="shared" si="12"/>
        <v>0</v>
      </c>
      <c r="AE46" s="10">
        <f t="shared" si="12"/>
        <v>0</v>
      </c>
      <c r="AF46">
        <f t="shared" si="13"/>
        <v>0.68101646832636964</v>
      </c>
      <c r="AG46">
        <f t="shared" si="13"/>
        <v>0.72254661172945256</v>
      </c>
      <c r="AH46">
        <f t="shared" si="13"/>
        <v>-0.37339317666958965</v>
      </c>
      <c r="AI46">
        <f t="shared" si="14"/>
        <v>0.37377937443134468</v>
      </c>
      <c r="AJ46">
        <f t="shared" si="14"/>
        <v>6.9821723401307573E-2</v>
      </c>
      <c r="AK46">
        <f t="shared" si="14"/>
        <v>0.14389886608321317</v>
      </c>
      <c r="AL46">
        <f t="shared" si="15"/>
        <v>0.56888528081927814</v>
      </c>
      <c r="AM46">
        <f t="shared" si="15"/>
        <v>0.44450480223011568</v>
      </c>
      <c r="AN46">
        <f t="shared" si="15"/>
        <v>0.35992090093375356</v>
      </c>
    </row>
    <row r="47" spans="1:40" x14ac:dyDescent="0.3">
      <c r="A47" s="9"/>
      <c r="B47" t="s">
        <v>68</v>
      </c>
      <c r="C47">
        <v>598</v>
      </c>
      <c r="D47">
        <v>951</v>
      </c>
      <c r="E47">
        <v>580</v>
      </c>
      <c r="F47">
        <v>720</v>
      </c>
      <c r="G47">
        <v>752</v>
      </c>
      <c r="H47">
        <v>917</v>
      </c>
      <c r="I47">
        <v>704</v>
      </c>
      <c r="J47">
        <v>701</v>
      </c>
      <c r="K47">
        <v>771</v>
      </c>
      <c r="L47">
        <v>601</v>
      </c>
      <c r="M47">
        <v>471</v>
      </c>
      <c r="N47">
        <v>589</v>
      </c>
      <c r="P47" t="s">
        <v>68</v>
      </c>
      <c r="Q47">
        <f t="shared" si="0"/>
        <v>8.7538243086967334E-3</v>
      </c>
      <c r="R47">
        <f t="shared" si="1"/>
        <v>1.0518864272362264E-2</v>
      </c>
      <c r="S47">
        <f t="shared" si="2"/>
        <v>8.0262374935997673E-3</v>
      </c>
      <c r="T47">
        <f t="shared" si="3"/>
        <v>8.0466706900020109E-3</v>
      </c>
      <c r="U47">
        <f t="shared" si="4"/>
        <v>8.7341316391595716E-3</v>
      </c>
      <c r="V47">
        <f t="shared" si="5"/>
        <v>7.4449947227409269E-3</v>
      </c>
      <c r="W47">
        <f t="shared" si="6"/>
        <v>7.418491432906911E-3</v>
      </c>
      <c r="X47">
        <f t="shared" si="7"/>
        <v>8.7641432768644119E-3</v>
      </c>
      <c r="Y47">
        <f t="shared" si="8"/>
        <v>7.46601076809854E-3</v>
      </c>
      <c r="Z47">
        <f t="shared" si="9"/>
        <v>7.6766851026325534E-3</v>
      </c>
      <c r="AA47">
        <f t="shared" si="10"/>
        <v>8.2711388181578721E-3</v>
      </c>
      <c r="AB47">
        <f t="shared" si="11"/>
        <v>7.0980959267293326E-3</v>
      </c>
      <c r="AC47" s="10">
        <f t="shared" si="12"/>
        <v>0</v>
      </c>
      <c r="AD47" s="10">
        <f t="shared" si="12"/>
        <v>0</v>
      </c>
      <c r="AE47" s="10">
        <f t="shared" si="12"/>
        <v>0</v>
      </c>
      <c r="AF47">
        <f t="shared" si="13"/>
        <v>-0.12152143743345852</v>
      </c>
      <c r="AG47">
        <f t="shared" si="13"/>
        <v>-0.26824276403316649</v>
      </c>
      <c r="AH47">
        <f t="shared" si="13"/>
        <v>-0.10845301942060866</v>
      </c>
      <c r="AI47">
        <f t="shared" si="14"/>
        <v>-0.23878758768441302</v>
      </c>
      <c r="AJ47">
        <f t="shared" si="14"/>
        <v>-0.26329396953212092</v>
      </c>
      <c r="AK47">
        <f t="shared" si="14"/>
        <v>-0.10438625618161981</v>
      </c>
      <c r="AL47">
        <f t="shared" si="15"/>
        <v>-0.18942995903061852</v>
      </c>
      <c r="AM47">
        <f t="shared" si="15"/>
        <v>-0.34682105768121635</v>
      </c>
      <c r="AN47">
        <f t="shared" si="15"/>
        <v>-0.17729177386473854</v>
      </c>
    </row>
    <row r="48" spans="1:40" x14ac:dyDescent="0.3">
      <c r="A48" s="9"/>
      <c r="B48" t="s">
        <v>69</v>
      </c>
      <c r="C48">
        <v>12370</v>
      </c>
      <c r="D48">
        <v>31435</v>
      </c>
      <c r="E48">
        <v>26496</v>
      </c>
      <c r="F48">
        <v>14385</v>
      </c>
      <c r="G48">
        <v>27297</v>
      </c>
      <c r="H48">
        <v>44432</v>
      </c>
      <c r="I48">
        <v>14028</v>
      </c>
      <c r="J48">
        <v>25826</v>
      </c>
      <c r="K48">
        <v>37495</v>
      </c>
      <c r="L48">
        <v>13467</v>
      </c>
      <c r="M48">
        <v>20332</v>
      </c>
      <c r="N48">
        <v>31076</v>
      </c>
      <c r="P48" t="s">
        <v>69</v>
      </c>
      <c r="Q48">
        <f t="shared" si="0"/>
        <v>0.18107827207120167</v>
      </c>
      <c r="R48">
        <f t="shared" si="1"/>
        <v>0.34769768496499243</v>
      </c>
      <c r="S48">
        <f t="shared" si="2"/>
        <v>0.36666067005244729</v>
      </c>
      <c r="T48">
        <f t="shared" si="3"/>
        <v>0.16076577482733187</v>
      </c>
      <c r="U48">
        <f t="shared" si="4"/>
        <v>0.31704200977943997</v>
      </c>
      <c r="V48">
        <f t="shared" si="5"/>
        <v>0.36073719249817326</v>
      </c>
      <c r="W48">
        <f t="shared" si="6"/>
        <v>0.14782187190457122</v>
      </c>
      <c r="X48">
        <f t="shared" si="7"/>
        <v>0.32288554103894479</v>
      </c>
      <c r="Y48">
        <f t="shared" si="8"/>
        <v>0.36308440175078438</v>
      </c>
      <c r="Z48">
        <f t="shared" si="9"/>
        <v>0.17201650295699267</v>
      </c>
      <c r="AA48">
        <f t="shared" si="10"/>
        <v>0.35704627271929057</v>
      </c>
      <c r="AB48">
        <f t="shared" si="11"/>
        <v>0.37449987948903352</v>
      </c>
      <c r="AC48" s="10">
        <f t="shared" si="12"/>
        <v>0</v>
      </c>
      <c r="AD48" s="10">
        <f t="shared" si="12"/>
        <v>0</v>
      </c>
      <c r="AE48" s="10">
        <f t="shared" si="12"/>
        <v>0</v>
      </c>
      <c r="AF48">
        <f t="shared" si="13"/>
        <v>-0.17165313880211081</v>
      </c>
      <c r="AG48">
        <f t="shared" si="13"/>
        <v>-0.13315944344957811</v>
      </c>
      <c r="AH48">
        <f t="shared" si="13"/>
        <v>-2.3497348681207838E-2</v>
      </c>
      <c r="AI48">
        <f t="shared" si="14"/>
        <v>-0.292753696734525</v>
      </c>
      <c r="AJ48">
        <f t="shared" si="14"/>
        <v>-0.10681062350939952</v>
      </c>
      <c r="AK48">
        <f t="shared" si="14"/>
        <v>-1.4140570586958043E-2</v>
      </c>
      <c r="AL48">
        <f t="shared" si="15"/>
        <v>-7.4066463770730104E-2</v>
      </c>
      <c r="AM48">
        <f t="shared" si="15"/>
        <v>3.8277596349187405E-2</v>
      </c>
      <c r="AN48">
        <f t="shared" si="15"/>
        <v>3.0519731128819127E-2</v>
      </c>
    </row>
    <row r="49" spans="1:40" x14ac:dyDescent="0.3">
      <c r="A49" s="9"/>
      <c r="B49" t="s">
        <v>70</v>
      </c>
      <c r="C49">
        <v>23147</v>
      </c>
      <c r="D49">
        <v>33069</v>
      </c>
      <c r="E49">
        <v>24804</v>
      </c>
      <c r="F49">
        <v>28652</v>
      </c>
      <c r="G49">
        <v>30679</v>
      </c>
      <c r="H49">
        <v>39153</v>
      </c>
      <c r="I49">
        <v>28986</v>
      </c>
      <c r="J49">
        <v>28456</v>
      </c>
      <c r="K49">
        <v>33246</v>
      </c>
      <c r="L49">
        <v>25727</v>
      </c>
      <c r="M49">
        <v>20270</v>
      </c>
      <c r="N49">
        <v>26516</v>
      </c>
      <c r="P49" t="s">
        <v>70</v>
      </c>
      <c r="Q49">
        <f t="shared" si="0"/>
        <v>0.33883741015619284</v>
      </c>
      <c r="R49">
        <f t="shared" si="1"/>
        <v>0.36577110685883041</v>
      </c>
      <c r="S49">
        <f t="shared" si="2"/>
        <v>0.34324619791594591</v>
      </c>
      <c r="T49">
        <f t="shared" si="3"/>
        <v>0.32021278973602452</v>
      </c>
      <c r="U49">
        <f t="shared" si="4"/>
        <v>0.35632237308214965</v>
      </c>
      <c r="V49">
        <f t="shared" si="5"/>
        <v>0.31787772996671265</v>
      </c>
      <c r="W49">
        <f t="shared" si="6"/>
        <v>0.30544373959409049</v>
      </c>
      <c r="X49">
        <f t="shared" si="7"/>
        <v>0.35576670625742329</v>
      </c>
      <c r="Y49">
        <f t="shared" si="8"/>
        <v>0.32193903242049809</v>
      </c>
      <c r="Z49">
        <f t="shared" si="9"/>
        <v>0.32861576977608603</v>
      </c>
      <c r="AA49">
        <f t="shared" si="10"/>
        <v>0.3559575028536307</v>
      </c>
      <c r="AB49">
        <f t="shared" si="11"/>
        <v>0.31954687876596771</v>
      </c>
      <c r="AC49" s="10">
        <f t="shared" si="12"/>
        <v>0</v>
      </c>
      <c r="AD49" s="10">
        <f t="shared" si="12"/>
        <v>0</v>
      </c>
      <c r="AE49" s="10">
        <f t="shared" si="12"/>
        <v>0</v>
      </c>
      <c r="AF49">
        <f t="shared" si="13"/>
        <v>-8.1562235452129317E-2</v>
      </c>
      <c r="AG49">
        <f t="shared" si="13"/>
        <v>-3.7758046110883216E-2</v>
      </c>
      <c r="AH49">
        <f t="shared" si="13"/>
        <v>-0.11077179297290488</v>
      </c>
      <c r="AI49">
        <f t="shared" si="14"/>
        <v>-0.1496864965697233</v>
      </c>
      <c r="AJ49">
        <f t="shared" si="14"/>
        <v>-4.0009612546582446E-2</v>
      </c>
      <c r="AK49">
        <f t="shared" si="14"/>
        <v>-9.2456237803572996E-2</v>
      </c>
      <c r="AL49">
        <f t="shared" si="15"/>
        <v>-4.4191452954445702E-2</v>
      </c>
      <c r="AM49">
        <f t="shared" si="15"/>
        <v>-3.9236107005427318E-2</v>
      </c>
      <c r="AN49">
        <f t="shared" si="15"/>
        <v>-0.10321614430087934</v>
      </c>
    </row>
    <row r="50" spans="1:40" x14ac:dyDescent="0.3">
      <c r="A50" s="9"/>
      <c r="B50" t="s">
        <v>71</v>
      </c>
      <c r="C50">
        <v>6129</v>
      </c>
      <c r="D50">
        <v>8045</v>
      </c>
      <c r="E50">
        <v>8766</v>
      </c>
      <c r="F50">
        <v>8249</v>
      </c>
      <c r="G50">
        <v>8400</v>
      </c>
      <c r="H50">
        <v>13246</v>
      </c>
      <c r="I50">
        <v>8812</v>
      </c>
      <c r="J50">
        <v>8099</v>
      </c>
      <c r="K50">
        <v>11796</v>
      </c>
      <c r="L50">
        <v>8167</v>
      </c>
      <c r="M50">
        <v>5950</v>
      </c>
      <c r="N50">
        <v>9590</v>
      </c>
      <c r="P50" t="s">
        <v>71</v>
      </c>
      <c r="Q50">
        <f t="shared" si="0"/>
        <v>8.9719379913047292E-2</v>
      </c>
      <c r="R50">
        <f t="shared" si="1"/>
        <v>8.8984503755157124E-2</v>
      </c>
      <c r="S50">
        <f t="shared" si="2"/>
        <v>0.12130689287740615</v>
      </c>
      <c r="T50">
        <f t="shared" si="3"/>
        <v>9.2190259058092486E-2</v>
      </c>
      <c r="U50">
        <f t="shared" si="4"/>
        <v>9.7562108735293099E-2</v>
      </c>
      <c r="V50">
        <f t="shared" si="5"/>
        <v>0.10754242104408542</v>
      </c>
      <c r="W50">
        <f t="shared" si="6"/>
        <v>9.285759446985184E-2</v>
      </c>
      <c r="X50">
        <f t="shared" si="7"/>
        <v>0.10125648559104831</v>
      </c>
      <c r="Y50">
        <f t="shared" si="8"/>
        <v>0.11422705968935198</v>
      </c>
      <c r="Z50">
        <f t="shared" si="9"/>
        <v>0.10431861436472557</v>
      </c>
      <c r="AA50">
        <f t="shared" si="10"/>
        <v>0.10448678549477566</v>
      </c>
      <c r="AB50">
        <f t="shared" si="11"/>
        <v>0.11557001687153531</v>
      </c>
      <c r="AC50" s="10">
        <f t="shared" si="12"/>
        <v>0</v>
      </c>
      <c r="AD50" s="10">
        <f t="shared" si="12"/>
        <v>0</v>
      </c>
      <c r="AE50" s="10">
        <f t="shared" si="12"/>
        <v>0</v>
      </c>
      <c r="AF50">
        <f t="shared" si="13"/>
        <v>3.9194672275793124E-2</v>
      </c>
      <c r="AG50">
        <f t="shared" si="13"/>
        <v>0.13276682209243587</v>
      </c>
      <c r="AH50">
        <f t="shared" si="13"/>
        <v>-0.17375567363217706</v>
      </c>
      <c r="AI50">
        <f t="shared" si="14"/>
        <v>4.9600258122894356E-2</v>
      </c>
      <c r="AJ50">
        <f t="shared" si="14"/>
        <v>0.18638829287210459</v>
      </c>
      <c r="AK50">
        <f t="shared" si="14"/>
        <v>-8.6757072544637534E-2</v>
      </c>
      <c r="AL50">
        <f t="shared" si="15"/>
        <v>0.21750505736821735</v>
      </c>
      <c r="AM50">
        <f t="shared" si="15"/>
        <v>0.23169447103842322</v>
      </c>
      <c r="AN50">
        <f t="shared" si="15"/>
        <v>-6.9894371299426217E-2</v>
      </c>
    </row>
    <row r="51" spans="1:40" x14ac:dyDescent="0.3">
      <c r="A51" s="9"/>
      <c r="B51" t="s">
        <v>72</v>
      </c>
      <c r="C51">
        <v>1038</v>
      </c>
      <c r="D51">
        <v>1979</v>
      </c>
      <c r="E51">
        <v>1331</v>
      </c>
      <c r="F51">
        <v>1368</v>
      </c>
      <c r="G51">
        <v>1542</v>
      </c>
      <c r="H51">
        <v>2774</v>
      </c>
      <c r="I51">
        <v>1317</v>
      </c>
      <c r="J51">
        <v>1565</v>
      </c>
      <c r="K51">
        <v>2866</v>
      </c>
      <c r="L51">
        <v>868</v>
      </c>
      <c r="M51">
        <v>1514</v>
      </c>
      <c r="N51">
        <v>2354</v>
      </c>
      <c r="P51" t="s">
        <v>72</v>
      </c>
      <c r="Q51">
        <f t="shared" si="0"/>
        <v>1.5194765271617408E-2</v>
      </c>
      <c r="R51">
        <f t="shared" si="1"/>
        <v>2.1889413664568792E-2</v>
      </c>
      <c r="S51">
        <f t="shared" si="2"/>
        <v>1.8418831213760846E-2</v>
      </c>
      <c r="T51">
        <f t="shared" si="3"/>
        <v>1.5288674311003822E-2</v>
      </c>
      <c r="U51">
        <f t="shared" si="4"/>
        <v>1.7909615674978802E-2</v>
      </c>
      <c r="V51">
        <f t="shared" si="5"/>
        <v>2.2521717950799706E-2</v>
      </c>
      <c r="W51">
        <f t="shared" si="6"/>
        <v>1.3878058547071593E-2</v>
      </c>
      <c r="X51">
        <f t="shared" si="7"/>
        <v>1.9566168656623115E-2</v>
      </c>
      <c r="Y51">
        <f t="shared" si="8"/>
        <v>2.7753030948599759E-2</v>
      </c>
      <c r="Z51">
        <f t="shared" si="9"/>
        <v>1.1087125905299595E-2</v>
      </c>
      <c r="AA51">
        <f t="shared" si="10"/>
        <v>2.6587057687242076E-2</v>
      </c>
      <c r="AB51">
        <f t="shared" si="11"/>
        <v>2.8368281513617741E-2</v>
      </c>
      <c r="AC51" s="10">
        <f t="shared" si="12"/>
        <v>0</v>
      </c>
      <c r="AD51" s="10">
        <f t="shared" si="12"/>
        <v>0</v>
      </c>
      <c r="AE51" s="10">
        <f t="shared" si="12"/>
        <v>0</v>
      </c>
      <c r="AF51">
        <f t="shared" si="13"/>
        <v>8.8889269629886924E-3</v>
      </c>
      <c r="AG51">
        <f t="shared" si="13"/>
        <v>-0.28949893198271837</v>
      </c>
      <c r="AH51">
        <f t="shared" si="13"/>
        <v>0.29013536341098217</v>
      </c>
      <c r="AI51">
        <f t="shared" si="14"/>
        <v>-0.13076863022497179</v>
      </c>
      <c r="AJ51">
        <f t="shared" si="14"/>
        <v>-0.16187202790971211</v>
      </c>
      <c r="AK51">
        <f t="shared" si="14"/>
        <v>0.59146382226853422</v>
      </c>
      <c r="AL51">
        <f t="shared" si="15"/>
        <v>-0.45468896145710036</v>
      </c>
      <c r="AM51">
        <f t="shared" si="15"/>
        <v>0.2804908165047833</v>
      </c>
      <c r="AN51">
        <f t="shared" si="15"/>
        <v>0.62309724144628775</v>
      </c>
    </row>
    <row r="52" spans="1:40" x14ac:dyDescent="0.3">
      <c r="A52" s="9"/>
      <c r="B52" t="s">
        <v>73</v>
      </c>
      <c r="C52">
        <v>0</v>
      </c>
      <c r="D52">
        <v>0</v>
      </c>
      <c r="E52">
        <v>0</v>
      </c>
      <c r="F52">
        <v>0</v>
      </c>
      <c r="G52">
        <v>1</v>
      </c>
      <c r="H52">
        <v>3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P52" t="s">
        <v>73</v>
      </c>
      <c r="Q52">
        <f t="shared" si="0"/>
        <v>0</v>
      </c>
      <c r="R52">
        <f t="shared" si="1"/>
        <v>0</v>
      </c>
      <c r="S52">
        <f t="shared" si="2"/>
        <v>0</v>
      </c>
      <c r="T52">
        <f t="shared" si="3"/>
        <v>0</v>
      </c>
      <c r="U52">
        <f t="shared" si="4"/>
        <v>1.1614536754201559E-5</v>
      </c>
      <c r="V52">
        <f t="shared" si="5"/>
        <v>2.4356580336120809E-5</v>
      </c>
      <c r="W52">
        <f t="shared" si="6"/>
        <v>1.0537629876288225E-5</v>
      </c>
      <c r="X52">
        <f t="shared" si="7"/>
        <v>0</v>
      </c>
      <c r="Y52">
        <f t="shared" si="8"/>
        <v>0</v>
      </c>
      <c r="Z52">
        <f t="shared" si="9"/>
        <v>0</v>
      </c>
      <c r="AA52">
        <f t="shared" si="10"/>
        <v>0</v>
      </c>
      <c r="AB52">
        <f t="shared" si="11"/>
        <v>1.2051096649795132E-5</v>
      </c>
      <c r="AC52" s="10" t="e">
        <f t="shared" si="12"/>
        <v>#DIV/0!</v>
      </c>
      <c r="AD52" s="10" t="e">
        <f t="shared" si="12"/>
        <v>#DIV/0!</v>
      </c>
      <c r="AE52" s="10" t="e">
        <f t="shared" si="12"/>
        <v>#DIV/0!</v>
      </c>
      <c r="AF52" t="e">
        <f t="shared" si="13"/>
        <v>#DIV/0!</v>
      </c>
      <c r="AG52" t="e">
        <f t="shared" si="13"/>
        <v>#DIV/0!</v>
      </c>
      <c r="AH52" t="e">
        <f t="shared" si="13"/>
        <v>#DIV/0!</v>
      </c>
      <c r="AI52" t="e">
        <f t="shared" si="14"/>
        <v>#DIV/0!</v>
      </c>
      <c r="AJ52" t="e">
        <f t="shared" si="14"/>
        <v>#DIV/0!</v>
      </c>
      <c r="AK52" t="e">
        <f t="shared" si="14"/>
        <v>#DIV/0!</v>
      </c>
      <c r="AL52" t="e">
        <f t="shared" si="15"/>
        <v>#DIV/0!</v>
      </c>
      <c r="AM52" t="e">
        <f t="shared" si="15"/>
        <v>#DIV/0!</v>
      </c>
      <c r="AN52" t="e">
        <f t="shared" si="15"/>
        <v>#DIV/0!</v>
      </c>
    </row>
    <row r="53" spans="1:40" x14ac:dyDescent="0.3">
      <c r="A53" s="9"/>
      <c r="B53" t="s">
        <v>74</v>
      </c>
      <c r="C53">
        <v>38</v>
      </c>
      <c r="D53">
        <v>39</v>
      </c>
      <c r="E53">
        <v>56</v>
      </c>
      <c r="F53">
        <v>53</v>
      </c>
      <c r="G53">
        <v>49</v>
      </c>
      <c r="H53">
        <v>85</v>
      </c>
      <c r="I53">
        <v>47</v>
      </c>
      <c r="J53">
        <v>51</v>
      </c>
      <c r="K53">
        <v>85</v>
      </c>
      <c r="L53">
        <v>38</v>
      </c>
      <c r="M53">
        <v>37</v>
      </c>
      <c r="N53">
        <v>69</v>
      </c>
      <c r="P53" t="s">
        <v>74</v>
      </c>
      <c r="Q53">
        <f t="shared" si="0"/>
        <v>5.5626308316133089E-4</v>
      </c>
      <c r="R53">
        <f t="shared" si="1"/>
        <v>4.3137298277826325E-4</v>
      </c>
      <c r="S53">
        <f t="shared" si="2"/>
        <v>7.7494706834756373E-4</v>
      </c>
      <c r="T53">
        <f t="shared" si="3"/>
        <v>5.9232437023625916E-4</v>
      </c>
      <c r="U53">
        <f t="shared" si="4"/>
        <v>5.6911230095587641E-4</v>
      </c>
      <c r="V53">
        <f t="shared" si="5"/>
        <v>6.9010310952342295E-4</v>
      </c>
      <c r="W53">
        <f t="shared" si="6"/>
        <v>4.9526860418554663E-4</v>
      </c>
      <c r="X53">
        <f t="shared" si="7"/>
        <v>6.3761955366631242E-4</v>
      </c>
      <c r="Y53">
        <f t="shared" si="8"/>
        <v>8.2310105744277029E-4</v>
      </c>
      <c r="Z53">
        <f t="shared" si="9"/>
        <v>4.8538108802002834E-4</v>
      </c>
      <c r="AA53">
        <f t="shared" si="10"/>
        <v>6.4974975853894111E-4</v>
      </c>
      <c r="AB53">
        <f t="shared" si="11"/>
        <v>8.3152566883586403E-4</v>
      </c>
      <c r="AC53" s="10">
        <f t="shared" si="12"/>
        <v>0</v>
      </c>
      <c r="AD53" s="10">
        <f t="shared" si="12"/>
        <v>0</v>
      </c>
      <c r="AE53" s="10">
        <f t="shared" si="12"/>
        <v>0</v>
      </c>
      <c r="AF53">
        <f t="shared" si="13"/>
        <v>9.0620081554585633E-2</v>
      </c>
      <c r="AG53">
        <f t="shared" si="13"/>
        <v>0.3997775404027194</v>
      </c>
      <c r="AH53">
        <f t="shared" si="13"/>
        <v>-0.16728583892063084</v>
      </c>
      <c r="AI53">
        <f t="shared" si="14"/>
        <v>-0.16755619388955323</v>
      </c>
      <c r="AJ53">
        <f t="shared" si="14"/>
        <v>0.56376005042706645</v>
      </c>
      <c r="AK53">
        <f t="shared" si="14"/>
        <v>8.6971797998378106E-2</v>
      </c>
      <c r="AL53">
        <f t="shared" si="15"/>
        <v>-0.19664946554369889</v>
      </c>
      <c r="AM53">
        <f t="shared" si="15"/>
        <v>0.59094837033326497</v>
      </c>
      <c r="AN53">
        <f t="shared" si="15"/>
        <v>0.10166302704029996</v>
      </c>
    </row>
    <row r="54" spans="1:40" x14ac:dyDescent="0.3">
      <c r="A54" s="9"/>
      <c r="B54" t="s">
        <v>75</v>
      </c>
      <c r="C54">
        <v>1742.1</v>
      </c>
      <c r="D54">
        <v>1412.75</v>
      </c>
      <c r="E54">
        <v>837.79</v>
      </c>
      <c r="F54">
        <v>2415.65</v>
      </c>
      <c r="G54">
        <v>1625.39</v>
      </c>
      <c r="H54">
        <v>1679.64</v>
      </c>
      <c r="I54">
        <v>2688.84</v>
      </c>
      <c r="J54">
        <v>1843.14</v>
      </c>
      <c r="K54">
        <v>1558.24</v>
      </c>
      <c r="L54">
        <v>2373.5500000000002</v>
      </c>
      <c r="M54">
        <v>1293.6300000000001</v>
      </c>
      <c r="N54">
        <v>1519.04</v>
      </c>
      <c r="P54" t="s">
        <v>75</v>
      </c>
      <c r="Q54">
        <f t="shared" si="0"/>
        <v>2.550173466250933E-2</v>
      </c>
      <c r="R54">
        <f t="shared" si="1"/>
        <v>1.5626209779999779E-2</v>
      </c>
      <c r="S54">
        <f t="shared" si="2"/>
        <v>1.1593623292694739E-2</v>
      </c>
      <c r="T54">
        <f t="shared" si="3"/>
        <v>2.6997138961532444E-2</v>
      </c>
      <c r="U54">
        <f t="shared" si="4"/>
        <v>1.8878151894911672E-2</v>
      </c>
      <c r="V54">
        <f t="shared" si="5"/>
        <v>1.3636762198587319E-2</v>
      </c>
      <c r="W54">
        <f t="shared" si="6"/>
        <v>2.8334000716558835E-2</v>
      </c>
      <c r="X54">
        <f t="shared" si="7"/>
        <v>2.3043570669500534E-2</v>
      </c>
      <c r="Y54">
        <f t="shared" si="8"/>
        <v>1.508928225587791E-2</v>
      </c>
      <c r="Z54">
        <f t="shared" si="9"/>
        <v>3.0317796880787853E-2</v>
      </c>
      <c r="AA54">
        <f t="shared" si="10"/>
        <v>2.2717183246992713E-2</v>
      </c>
      <c r="AB54">
        <f t="shared" si="11"/>
        <v>1.8306097854904797E-2</v>
      </c>
      <c r="AC54" s="10">
        <f t="shared" si="12"/>
        <v>0</v>
      </c>
      <c r="AD54" s="10">
        <f t="shared" si="12"/>
        <v>0</v>
      </c>
      <c r="AE54" s="10">
        <f t="shared" si="12"/>
        <v>0</v>
      </c>
      <c r="AF54">
        <f t="shared" si="13"/>
        <v>8.221114038797564E-2</v>
      </c>
      <c r="AG54">
        <f t="shared" si="13"/>
        <v>0.27274964936901552</v>
      </c>
      <c r="AH54">
        <f t="shared" si="13"/>
        <v>0.23416962876490754</v>
      </c>
      <c r="AI54">
        <f t="shared" si="14"/>
        <v>0.1519389378895285</v>
      </c>
      <c r="AJ54">
        <f t="shared" si="14"/>
        <v>0.56039639652842388</v>
      </c>
      <c r="AK54">
        <f t="shared" si="14"/>
        <v>0.38019266903294213</v>
      </c>
      <c r="AL54">
        <f t="shared" si="15"/>
        <v>0.24956953575108809</v>
      </c>
      <c r="AM54">
        <f t="shared" si="15"/>
        <v>0.53981607559134315</v>
      </c>
      <c r="AN54">
        <f t="shared" si="15"/>
        <v>0.65899278313912235</v>
      </c>
    </row>
  </sheetData>
  <mergeCells count="13">
    <mergeCell ref="AL3:AN3"/>
    <mergeCell ref="A4:A23"/>
    <mergeCell ref="A26:A54"/>
    <mergeCell ref="Q2:AB2"/>
    <mergeCell ref="AC2:AN2"/>
    <mergeCell ref="B3:N3"/>
    <mergeCell ref="Q3:S3"/>
    <mergeCell ref="T3:V3"/>
    <mergeCell ref="W3:Y3"/>
    <mergeCell ref="Z3:AB3"/>
    <mergeCell ref="AC3:AE3"/>
    <mergeCell ref="AF3:AH3"/>
    <mergeCell ref="AI3:A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1ED08-FA51-4C91-B5ED-C10A07A872A5}">
  <dimension ref="A1:AF56"/>
  <sheetViews>
    <sheetView workbookViewId="0">
      <selection sqref="A1:XFD1048576"/>
    </sheetView>
  </sheetViews>
  <sheetFormatPr defaultRowHeight="14.4" x14ac:dyDescent="0.3"/>
  <cols>
    <col min="2" max="2" width="10.44140625" bestFit="1" customWidth="1"/>
    <col min="26" max="26" width="12.44140625" customWidth="1"/>
  </cols>
  <sheetData>
    <row r="1" spans="1:32" x14ac:dyDescent="0.3">
      <c r="Q1" s="1" t="s">
        <v>0</v>
      </c>
      <c r="R1" s="1"/>
      <c r="S1" s="1"/>
      <c r="T1" s="1"/>
      <c r="U1" s="2" t="s">
        <v>1</v>
      </c>
      <c r="V1" s="2"/>
      <c r="W1" s="2"/>
      <c r="X1" s="2"/>
      <c r="Y1" s="3" t="s">
        <v>2</v>
      </c>
      <c r="Z1" s="3"/>
      <c r="AA1" s="3"/>
      <c r="AB1" s="3"/>
      <c r="AC1" s="4" t="s">
        <v>3</v>
      </c>
      <c r="AD1" s="4"/>
      <c r="AE1" s="4"/>
      <c r="AF1" s="4"/>
    </row>
    <row r="2" spans="1:32" x14ac:dyDescent="0.3"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Q2" t="s">
        <v>5</v>
      </c>
      <c r="R2" t="s">
        <v>6</v>
      </c>
      <c r="S2" t="s">
        <v>7</v>
      </c>
      <c r="T2" t="s">
        <v>8</v>
      </c>
      <c r="U2" t="s">
        <v>5</v>
      </c>
      <c r="V2" t="s">
        <v>6</v>
      </c>
      <c r="W2" t="s">
        <v>7</v>
      </c>
      <c r="X2" t="s">
        <v>8</v>
      </c>
      <c r="Y2" t="s">
        <v>5</v>
      </c>
      <c r="Z2" t="s">
        <v>6</v>
      </c>
      <c r="AA2" t="s">
        <v>7</v>
      </c>
      <c r="AB2" t="s">
        <v>8</v>
      </c>
      <c r="AC2" t="s">
        <v>5</v>
      </c>
      <c r="AD2" t="s">
        <v>6</v>
      </c>
      <c r="AE2" t="s">
        <v>7</v>
      </c>
      <c r="AF2" t="s">
        <v>8</v>
      </c>
    </row>
    <row r="3" spans="1:32" x14ac:dyDescent="0.3">
      <c r="A3" s="6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P3" t="s">
        <v>10</v>
      </c>
      <c r="Q3" s="7" t="s">
        <v>0</v>
      </c>
      <c r="R3" s="7" t="s">
        <v>0</v>
      </c>
      <c r="S3" s="7" t="s">
        <v>0</v>
      </c>
      <c r="T3" s="7" t="s">
        <v>0</v>
      </c>
      <c r="U3" s="8" t="s">
        <v>1</v>
      </c>
      <c r="V3" s="8" t="s">
        <v>1</v>
      </c>
      <c r="W3" s="8" t="s">
        <v>1</v>
      </c>
      <c r="X3" s="8" t="s">
        <v>1</v>
      </c>
      <c r="Y3" t="s">
        <v>2</v>
      </c>
      <c r="Z3" t="s">
        <v>2</v>
      </c>
      <c r="AA3" t="s">
        <v>2</v>
      </c>
      <c r="AB3" t="s">
        <v>2</v>
      </c>
    </row>
    <row r="4" spans="1:32" x14ac:dyDescent="0.3">
      <c r="A4" s="6"/>
      <c r="B4" t="s">
        <v>23</v>
      </c>
      <c r="C4">
        <v>68313</v>
      </c>
      <c r="D4">
        <v>90409</v>
      </c>
      <c r="E4">
        <v>72263</v>
      </c>
      <c r="F4">
        <v>89478</v>
      </c>
      <c r="G4">
        <v>86099</v>
      </c>
      <c r="H4">
        <v>123170</v>
      </c>
      <c r="I4">
        <v>94898</v>
      </c>
      <c r="J4">
        <v>79985</v>
      </c>
      <c r="K4">
        <v>103268</v>
      </c>
      <c r="L4">
        <v>78289</v>
      </c>
      <c r="M4">
        <v>56945</v>
      </c>
      <c r="N4">
        <v>82980</v>
      </c>
    </row>
    <row r="5" spans="1:32" x14ac:dyDescent="0.3">
      <c r="A5" s="6"/>
      <c r="B5" t="s">
        <v>24</v>
      </c>
      <c r="C5">
        <v>226</v>
      </c>
      <c r="D5">
        <v>292</v>
      </c>
      <c r="E5">
        <v>180</v>
      </c>
      <c r="F5">
        <v>266</v>
      </c>
      <c r="G5">
        <v>355</v>
      </c>
      <c r="H5">
        <v>553</v>
      </c>
      <c r="I5">
        <v>298</v>
      </c>
      <c r="J5">
        <v>386</v>
      </c>
      <c r="K5">
        <v>316</v>
      </c>
      <c r="L5">
        <v>357</v>
      </c>
      <c r="M5">
        <v>282</v>
      </c>
      <c r="N5">
        <v>300</v>
      </c>
      <c r="P5" t="s">
        <v>24</v>
      </c>
      <c r="Q5">
        <f>C5-$C$4</f>
        <v>-68087</v>
      </c>
      <c r="R5">
        <f>F5-$F$4</f>
        <v>-89212</v>
      </c>
      <c r="S5">
        <f>I5-$I$4</f>
        <v>-94600</v>
      </c>
      <c r="T5">
        <f>L5-$L$4</f>
        <v>-77932</v>
      </c>
      <c r="U5">
        <f>Q5-Q5</f>
        <v>0</v>
      </c>
      <c r="V5">
        <f>R5-Q5</f>
        <v>-21125</v>
      </c>
      <c r="W5">
        <f>S5-Q5</f>
        <v>-26513</v>
      </c>
      <c r="X5">
        <f>T5-Q5</f>
        <v>-9845</v>
      </c>
      <c r="Y5">
        <f>2^-(U5)</f>
        <v>1</v>
      </c>
      <c r="Z5" t="e">
        <f>2^-V5</f>
        <v>#NUM!</v>
      </c>
      <c r="AA5" t="e">
        <f>2^-W5</f>
        <v>#NUM!</v>
      </c>
      <c r="AB5" t="e">
        <f>2^-X5</f>
        <v>#NUM!</v>
      </c>
      <c r="AC5">
        <f>LOG(Y5,2)</f>
        <v>0</v>
      </c>
      <c r="AD5" t="e">
        <f>LOG(Z5,2)</f>
        <v>#NUM!</v>
      </c>
      <c r="AE5" t="e">
        <f>LOG(AA5,2)</f>
        <v>#NUM!</v>
      </c>
      <c r="AF5" t="e">
        <f>LOG(AB5,2)</f>
        <v>#NUM!</v>
      </c>
    </row>
    <row r="6" spans="1:32" x14ac:dyDescent="0.3">
      <c r="A6" s="6"/>
      <c r="B6" t="s">
        <v>25</v>
      </c>
      <c r="C6">
        <v>301</v>
      </c>
      <c r="D6">
        <v>346</v>
      </c>
      <c r="E6">
        <v>292</v>
      </c>
      <c r="F6">
        <v>327</v>
      </c>
      <c r="G6">
        <v>336</v>
      </c>
      <c r="H6">
        <v>553</v>
      </c>
      <c r="I6">
        <v>380</v>
      </c>
      <c r="J6">
        <v>297</v>
      </c>
      <c r="K6">
        <v>398</v>
      </c>
      <c r="L6">
        <v>319</v>
      </c>
      <c r="M6">
        <v>198</v>
      </c>
      <c r="N6">
        <v>391</v>
      </c>
      <c r="P6" t="s">
        <v>25</v>
      </c>
      <c r="Q6">
        <f t="shared" ref="Q6:Q56" si="0">C6-$C$4</f>
        <v>-68012</v>
      </c>
      <c r="R6">
        <f t="shared" ref="R6:R56" si="1">F6-$F$4</f>
        <v>-89151</v>
      </c>
      <c r="S6">
        <f t="shared" ref="S6:S56" si="2">I6-$I$4</f>
        <v>-94518</v>
      </c>
      <c r="T6">
        <f t="shared" ref="T6:T56" si="3">L6-$L$4</f>
        <v>-77970</v>
      </c>
      <c r="U6">
        <f t="shared" ref="U6:U56" si="4">Q6-Q6</f>
        <v>0</v>
      </c>
      <c r="V6">
        <f t="shared" ref="V6:V56" si="5">R6-Q6</f>
        <v>-21139</v>
      </c>
      <c r="W6">
        <f t="shared" ref="W6:W56" si="6">S6-Q6</f>
        <v>-26506</v>
      </c>
      <c r="X6">
        <f t="shared" ref="X6:X56" si="7">T6-Q6</f>
        <v>-9958</v>
      </c>
      <c r="Y6">
        <f t="shared" ref="Y6:Z56" si="8">2^-(U6)</f>
        <v>1</v>
      </c>
      <c r="Z6" t="e">
        <f t="shared" si="8"/>
        <v>#NUM!</v>
      </c>
      <c r="AA6" t="e">
        <f t="shared" ref="AA6:AB56" si="9">2^-W6</f>
        <v>#NUM!</v>
      </c>
      <c r="AB6" t="e">
        <f t="shared" si="9"/>
        <v>#NUM!</v>
      </c>
      <c r="AC6">
        <f t="shared" ref="AC6:AF56" si="10">LOG(Y6,2)</f>
        <v>0</v>
      </c>
      <c r="AD6" t="e">
        <f t="shared" si="10"/>
        <v>#NUM!</v>
      </c>
      <c r="AE6" t="e">
        <f t="shared" si="10"/>
        <v>#NUM!</v>
      </c>
      <c r="AF6" t="e">
        <f t="shared" si="10"/>
        <v>#NUM!</v>
      </c>
    </row>
    <row r="7" spans="1:32" x14ac:dyDescent="0.3">
      <c r="A7" s="6"/>
      <c r="B7" t="s">
        <v>26</v>
      </c>
      <c r="C7">
        <v>1071</v>
      </c>
      <c r="D7">
        <v>1354</v>
      </c>
      <c r="E7">
        <v>1494</v>
      </c>
      <c r="F7">
        <v>1210</v>
      </c>
      <c r="G7">
        <v>1303</v>
      </c>
      <c r="H7">
        <v>2503</v>
      </c>
      <c r="I7">
        <v>1232</v>
      </c>
      <c r="J7">
        <v>1165</v>
      </c>
      <c r="K7">
        <v>2368</v>
      </c>
      <c r="L7">
        <v>1119</v>
      </c>
      <c r="M7">
        <v>1045</v>
      </c>
      <c r="N7">
        <v>2039</v>
      </c>
      <c r="P7" t="s">
        <v>26</v>
      </c>
      <c r="Q7">
        <f t="shared" si="0"/>
        <v>-67242</v>
      </c>
      <c r="R7">
        <f t="shared" si="1"/>
        <v>-88268</v>
      </c>
      <c r="S7">
        <f t="shared" si="2"/>
        <v>-93666</v>
      </c>
      <c r="T7">
        <f t="shared" si="3"/>
        <v>-77170</v>
      </c>
      <c r="U7">
        <f t="shared" si="4"/>
        <v>0</v>
      </c>
      <c r="V7">
        <f t="shared" si="5"/>
        <v>-21026</v>
      </c>
      <c r="W7">
        <f t="shared" si="6"/>
        <v>-26424</v>
      </c>
      <c r="X7">
        <f t="shared" si="7"/>
        <v>-9928</v>
      </c>
      <c r="Y7">
        <f t="shared" si="8"/>
        <v>1</v>
      </c>
      <c r="Z7" t="e">
        <f t="shared" si="8"/>
        <v>#NUM!</v>
      </c>
      <c r="AA7" t="e">
        <f t="shared" si="9"/>
        <v>#NUM!</v>
      </c>
      <c r="AB7" t="e">
        <f t="shared" si="9"/>
        <v>#NUM!</v>
      </c>
      <c r="AC7">
        <f t="shared" si="10"/>
        <v>0</v>
      </c>
      <c r="AD7" t="e">
        <f t="shared" si="10"/>
        <v>#NUM!</v>
      </c>
      <c r="AE7" t="e">
        <f t="shared" si="10"/>
        <v>#NUM!</v>
      </c>
      <c r="AF7" t="e">
        <f t="shared" si="10"/>
        <v>#NUM!</v>
      </c>
    </row>
    <row r="8" spans="1:32" x14ac:dyDescent="0.3">
      <c r="A8" s="6"/>
      <c r="B8" t="s">
        <v>27</v>
      </c>
      <c r="C8">
        <v>1138.3699999999999</v>
      </c>
      <c r="D8">
        <v>1604.26</v>
      </c>
      <c r="E8">
        <v>769.38</v>
      </c>
      <c r="F8">
        <v>1712.39</v>
      </c>
      <c r="G8">
        <v>1425.28</v>
      </c>
      <c r="H8">
        <v>1574</v>
      </c>
      <c r="I8">
        <v>1739.52</v>
      </c>
      <c r="J8">
        <v>1351.36</v>
      </c>
      <c r="K8">
        <v>1351.08</v>
      </c>
      <c r="L8">
        <v>1317.21</v>
      </c>
      <c r="M8">
        <v>809.55</v>
      </c>
      <c r="N8">
        <v>1133.3399999999999</v>
      </c>
      <c r="P8" t="s">
        <v>27</v>
      </c>
      <c r="Q8">
        <f t="shared" si="0"/>
        <v>-67174.63</v>
      </c>
      <c r="R8">
        <f t="shared" si="1"/>
        <v>-87765.61</v>
      </c>
      <c r="S8">
        <f t="shared" si="2"/>
        <v>-93158.48</v>
      </c>
      <c r="T8">
        <f t="shared" si="3"/>
        <v>-76971.789999999994</v>
      </c>
      <c r="U8">
        <f t="shared" si="4"/>
        <v>0</v>
      </c>
      <c r="V8">
        <f t="shared" si="5"/>
        <v>-20590.979999999996</v>
      </c>
      <c r="W8">
        <f t="shared" si="6"/>
        <v>-25983.849999999991</v>
      </c>
      <c r="X8">
        <f t="shared" si="7"/>
        <v>-9797.1599999999889</v>
      </c>
      <c r="Y8">
        <f t="shared" si="8"/>
        <v>1</v>
      </c>
      <c r="Z8" t="e">
        <f t="shared" si="8"/>
        <v>#NUM!</v>
      </c>
      <c r="AA8" t="e">
        <f t="shared" si="9"/>
        <v>#NUM!</v>
      </c>
      <c r="AB8" t="e">
        <f t="shared" si="9"/>
        <v>#NUM!</v>
      </c>
      <c r="AC8">
        <f t="shared" si="10"/>
        <v>0</v>
      </c>
      <c r="AD8" t="e">
        <f t="shared" si="10"/>
        <v>#NUM!</v>
      </c>
      <c r="AE8" t="e">
        <f t="shared" si="10"/>
        <v>#NUM!</v>
      </c>
      <c r="AF8" t="e">
        <f t="shared" si="10"/>
        <v>#NUM!</v>
      </c>
    </row>
    <row r="9" spans="1:32" x14ac:dyDescent="0.3">
      <c r="A9" s="6"/>
      <c r="B9" t="s">
        <v>28</v>
      </c>
      <c r="C9">
        <v>329</v>
      </c>
      <c r="D9">
        <v>610</v>
      </c>
      <c r="E9">
        <v>521</v>
      </c>
      <c r="F9">
        <v>298</v>
      </c>
      <c r="G9">
        <v>522</v>
      </c>
      <c r="H9">
        <v>1029</v>
      </c>
      <c r="I9">
        <v>318</v>
      </c>
      <c r="J9">
        <v>462</v>
      </c>
      <c r="K9">
        <v>790</v>
      </c>
      <c r="L9">
        <v>312</v>
      </c>
      <c r="M9">
        <v>289</v>
      </c>
      <c r="N9">
        <v>596</v>
      </c>
      <c r="P9" t="s">
        <v>28</v>
      </c>
      <c r="Q9">
        <f t="shared" si="0"/>
        <v>-67984</v>
      </c>
      <c r="R9">
        <f t="shared" si="1"/>
        <v>-89180</v>
      </c>
      <c r="S9">
        <f t="shared" si="2"/>
        <v>-94580</v>
      </c>
      <c r="T9">
        <f t="shared" si="3"/>
        <v>-77977</v>
      </c>
      <c r="U9">
        <f t="shared" si="4"/>
        <v>0</v>
      </c>
      <c r="V9">
        <f t="shared" si="5"/>
        <v>-21196</v>
      </c>
      <c r="W9">
        <f t="shared" si="6"/>
        <v>-26596</v>
      </c>
      <c r="X9">
        <f t="shared" si="7"/>
        <v>-9993</v>
      </c>
      <c r="Y9">
        <f t="shared" si="8"/>
        <v>1</v>
      </c>
      <c r="Z9" t="e">
        <f t="shared" si="8"/>
        <v>#NUM!</v>
      </c>
      <c r="AA9" t="e">
        <f t="shared" si="9"/>
        <v>#NUM!</v>
      </c>
      <c r="AB9" t="e">
        <f t="shared" si="9"/>
        <v>#NUM!</v>
      </c>
      <c r="AC9">
        <f t="shared" si="10"/>
        <v>0</v>
      </c>
      <c r="AD9" t="e">
        <f t="shared" si="10"/>
        <v>#NUM!</v>
      </c>
      <c r="AE9" t="e">
        <f t="shared" si="10"/>
        <v>#NUM!</v>
      </c>
      <c r="AF9" t="e">
        <f t="shared" si="10"/>
        <v>#NUM!</v>
      </c>
    </row>
    <row r="10" spans="1:32" x14ac:dyDescent="0.3">
      <c r="A10" s="6"/>
      <c r="B10" t="s">
        <v>29</v>
      </c>
      <c r="C10">
        <v>3</v>
      </c>
      <c r="D10">
        <v>13</v>
      </c>
      <c r="E10">
        <v>75</v>
      </c>
      <c r="F10">
        <v>15</v>
      </c>
      <c r="G10">
        <v>16</v>
      </c>
      <c r="H10">
        <v>149</v>
      </c>
      <c r="I10">
        <v>8</v>
      </c>
      <c r="J10">
        <v>10</v>
      </c>
      <c r="K10">
        <v>125</v>
      </c>
      <c r="L10">
        <v>13</v>
      </c>
      <c r="M10">
        <v>5</v>
      </c>
      <c r="N10">
        <v>75</v>
      </c>
      <c r="P10" t="s">
        <v>29</v>
      </c>
      <c r="Q10">
        <f t="shared" si="0"/>
        <v>-68310</v>
      </c>
      <c r="R10">
        <f t="shared" si="1"/>
        <v>-89463</v>
      </c>
      <c r="S10">
        <f t="shared" si="2"/>
        <v>-94890</v>
      </c>
      <c r="T10">
        <f t="shared" si="3"/>
        <v>-78276</v>
      </c>
      <c r="U10">
        <f t="shared" si="4"/>
        <v>0</v>
      </c>
      <c r="V10">
        <f t="shared" si="5"/>
        <v>-21153</v>
      </c>
      <c r="W10">
        <f t="shared" si="6"/>
        <v>-26580</v>
      </c>
      <c r="X10">
        <f t="shared" si="7"/>
        <v>-9966</v>
      </c>
      <c r="Y10">
        <f t="shared" si="8"/>
        <v>1</v>
      </c>
      <c r="Z10" t="e">
        <f t="shared" si="8"/>
        <v>#NUM!</v>
      </c>
      <c r="AA10" t="e">
        <f t="shared" si="9"/>
        <v>#NUM!</v>
      </c>
      <c r="AB10" t="e">
        <f t="shared" si="9"/>
        <v>#NUM!</v>
      </c>
      <c r="AC10">
        <f t="shared" si="10"/>
        <v>0</v>
      </c>
      <c r="AD10" t="e">
        <f t="shared" si="10"/>
        <v>#NUM!</v>
      </c>
      <c r="AE10" t="e">
        <f t="shared" si="10"/>
        <v>#NUM!</v>
      </c>
      <c r="AF10" t="e">
        <f t="shared" si="10"/>
        <v>#NUM!</v>
      </c>
    </row>
    <row r="11" spans="1:32" x14ac:dyDescent="0.3">
      <c r="A11" s="6"/>
      <c r="B11" t="s">
        <v>30</v>
      </c>
      <c r="C11">
        <v>9467.0499999999993</v>
      </c>
      <c r="D11">
        <v>10861.52</v>
      </c>
      <c r="E11">
        <v>9123</v>
      </c>
      <c r="F11">
        <v>10746.06</v>
      </c>
      <c r="G11">
        <v>10572.83</v>
      </c>
      <c r="H11">
        <v>13437</v>
      </c>
      <c r="I11">
        <v>11389.9</v>
      </c>
      <c r="J11">
        <v>9906.9699999999993</v>
      </c>
      <c r="K11">
        <v>11351.72</v>
      </c>
      <c r="L11">
        <v>9554.0499999999993</v>
      </c>
      <c r="M11">
        <v>7159.97</v>
      </c>
      <c r="N11">
        <v>8950.94</v>
      </c>
      <c r="P11" t="s">
        <v>30</v>
      </c>
      <c r="Q11">
        <f t="shared" si="0"/>
        <v>-58845.95</v>
      </c>
      <c r="R11">
        <f t="shared" si="1"/>
        <v>-78731.94</v>
      </c>
      <c r="S11">
        <f t="shared" si="2"/>
        <v>-83508.100000000006</v>
      </c>
      <c r="T11">
        <f t="shared" si="3"/>
        <v>-68734.95</v>
      </c>
      <c r="U11">
        <f t="shared" si="4"/>
        <v>0</v>
      </c>
      <c r="V11">
        <f t="shared" si="5"/>
        <v>-19885.990000000005</v>
      </c>
      <c r="W11">
        <f t="shared" si="6"/>
        <v>-24662.150000000009</v>
      </c>
      <c r="X11">
        <f t="shared" si="7"/>
        <v>-9889</v>
      </c>
      <c r="Y11">
        <f t="shared" si="8"/>
        <v>1</v>
      </c>
      <c r="Z11" t="e">
        <f t="shared" si="8"/>
        <v>#NUM!</v>
      </c>
      <c r="AA11" t="e">
        <f t="shared" si="9"/>
        <v>#NUM!</v>
      </c>
      <c r="AB11" t="e">
        <f t="shared" si="9"/>
        <v>#NUM!</v>
      </c>
      <c r="AC11">
        <f t="shared" si="10"/>
        <v>0</v>
      </c>
      <c r="AD11" t="e">
        <f t="shared" si="10"/>
        <v>#NUM!</v>
      </c>
      <c r="AE11" t="e">
        <f t="shared" si="10"/>
        <v>#NUM!</v>
      </c>
      <c r="AF11" t="e">
        <f t="shared" si="10"/>
        <v>#NUM!</v>
      </c>
    </row>
    <row r="12" spans="1:32" x14ac:dyDescent="0.3">
      <c r="A12" s="6"/>
      <c r="B12" t="s">
        <v>31</v>
      </c>
      <c r="C12">
        <v>2287</v>
      </c>
      <c r="D12">
        <v>2794</v>
      </c>
      <c r="E12">
        <v>2975</v>
      </c>
      <c r="F12">
        <v>2660</v>
      </c>
      <c r="G12">
        <v>2669</v>
      </c>
      <c r="H12">
        <v>4381</v>
      </c>
      <c r="I12">
        <v>2680</v>
      </c>
      <c r="J12">
        <v>2428</v>
      </c>
      <c r="K12">
        <v>3543</v>
      </c>
      <c r="L12">
        <v>2510</v>
      </c>
      <c r="M12">
        <v>1978</v>
      </c>
      <c r="N12">
        <v>2708</v>
      </c>
      <c r="P12" t="s">
        <v>31</v>
      </c>
      <c r="Q12">
        <f t="shared" si="0"/>
        <v>-66026</v>
      </c>
      <c r="R12">
        <f t="shared" si="1"/>
        <v>-86818</v>
      </c>
      <c r="S12">
        <f t="shared" si="2"/>
        <v>-92218</v>
      </c>
      <c r="T12">
        <f t="shared" si="3"/>
        <v>-75779</v>
      </c>
      <c r="U12">
        <f t="shared" si="4"/>
        <v>0</v>
      </c>
      <c r="V12">
        <f t="shared" si="5"/>
        <v>-20792</v>
      </c>
      <c r="W12">
        <f t="shared" si="6"/>
        <v>-26192</v>
      </c>
      <c r="X12">
        <f t="shared" si="7"/>
        <v>-9753</v>
      </c>
      <c r="Y12">
        <f t="shared" si="8"/>
        <v>1</v>
      </c>
      <c r="Z12" t="e">
        <f t="shared" si="8"/>
        <v>#NUM!</v>
      </c>
      <c r="AA12" t="e">
        <f t="shared" si="9"/>
        <v>#NUM!</v>
      </c>
      <c r="AB12" t="e">
        <f t="shared" si="9"/>
        <v>#NUM!</v>
      </c>
      <c r="AC12">
        <f t="shared" si="10"/>
        <v>0</v>
      </c>
      <c r="AD12" t="e">
        <f t="shared" si="10"/>
        <v>#NUM!</v>
      </c>
      <c r="AE12" t="e">
        <f t="shared" si="10"/>
        <v>#NUM!</v>
      </c>
      <c r="AF12" t="e">
        <f t="shared" si="10"/>
        <v>#NUM!</v>
      </c>
    </row>
    <row r="13" spans="1:32" x14ac:dyDescent="0.3">
      <c r="A13" s="6"/>
      <c r="B13" t="s">
        <v>32</v>
      </c>
      <c r="C13">
        <v>8978</v>
      </c>
      <c r="D13">
        <v>9014</v>
      </c>
      <c r="E13">
        <v>7526</v>
      </c>
      <c r="F13">
        <v>10636</v>
      </c>
      <c r="G13">
        <v>9046</v>
      </c>
      <c r="H13">
        <v>10346</v>
      </c>
      <c r="I13">
        <v>10575</v>
      </c>
      <c r="J13">
        <v>8586</v>
      </c>
      <c r="K13">
        <v>8846</v>
      </c>
      <c r="L13">
        <v>9355</v>
      </c>
      <c r="M13">
        <v>6203</v>
      </c>
      <c r="N13">
        <v>7334</v>
      </c>
      <c r="P13" t="s">
        <v>32</v>
      </c>
      <c r="Q13">
        <f t="shared" si="0"/>
        <v>-59335</v>
      </c>
      <c r="R13">
        <f t="shared" si="1"/>
        <v>-78842</v>
      </c>
      <c r="S13">
        <f t="shared" si="2"/>
        <v>-84323</v>
      </c>
      <c r="T13">
        <f t="shared" si="3"/>
        <v>-68934</v>
      </c>
      <c r="U13">
        <f t="shared" si="4"/>
        <v>0</v>
      </c>
      <c r="V13">
        <f t="shared" si="5"/>
        <v>-19507</v>
      </c>
      <c r="W13">
        <f t="shared" si="6"/>
        <v>-24988</v>
      </c>
      <c r="X13">
        <f t="shared" si="7"/>
        <v>-9599</v>
      </c>
      <c r="Y13">
        <f t="shared" si="8"/>
        <v>1</v>
      </c>
      <c r="Z13" t="e">
        <f t="shared" si="8"/>
        <v>#NUM!</v>
      </c>
      <c r="AA13" t="e">
        <f t="shared" si="9"/>
        <v>#NUM!</v>
      </c>
      <c r="AB13" t="e">
        <f t="shared" si="9"/>
        <v>#NUM!</v>
      </c>
      <c r="AC13">
        <f t="shared" si="10"/>
        <v>0</v>
      </c>
      <c r="AD13" t="e">
        <f t="shared" si="10"/>
        <v>#NUM!</v>
      </c>
      <c r="AE13" t="e">
        <f t="shared" si="10"/>
        <v>#NUM!</v>
      </c>
      <c r="AF13" t="e">
        <f t="shared" si="10"/>
        <v>#NUM!</v>
      </c>
    </row>
    <row r="14" spans="1:32" x14ac:dyDescent="0.3">
      <c r="A14" s="6"/>
      <c r="B14" t="s">
        <v>33</v>
      </c>
      <c r="C14">
        <v>440</v>
      </c>
      <c r="D14">
        <v>135</v>
      </c>
      <c r="E14">
        <v>126</v>
      </c>
      <c r="F14">
        <v>607</v>
      </c>
      <c r="G14">
        <v>219</v>
      </c>
      <c r="H14">
        <v>159</v>
      </c>
      <c r="I14">
        <v>569</v>
      </c>
      <c r="J14">
        <v>213</v>
      </c>
      <c r="K14">
        <v>129</v>
      </c>
      <c r="L14">
        <v>321</v>
      </c>
      <c r="M14">
        <v>84</v>
      </c>
      <c r="N14">
        <v>162</v>
      </c>
      <c r="P14" t="s">
        <v>33</v>
      </c>
      <c r="Q14">
        <f t="shared" si="0"/>
        <v>-67873</v>
      </c>
      <c r="R14">
        <f t="shared" si="1"/>
        <v>-88871</v>
      </c>
      <c r="S14">
        <f t="shared" si="2"/>
        <v>-94329</v>
      </c>
      <c r="T14">
        <f t="shared" si="3"/>
        <v>-77968</v>
      </c>
      <c r="U14">
        <f t="shared" si="4"/>
        <v>0</v>
      </c>
      <c r="V14">
        <f t="shared" si="5"/>
        <v>-20998</v>
      </c>
      <c r="W14">
        <f t="shared" si="6"/>
        <v>-26456</v>
      </c>
      <c r="X14">
        <f t="shared" si="7"/>
        <v>-10095</v>
      </c>
      <c r="Y14">
        <f t="shared" si="8"/>
        <v>1</v>
      </c>
      <c r="Z14" t="e">
        <f t="shared" si="8"/>
        <v>#NUM!</v>
      </c>
      <c r="AA14" t="e">
        <f t="shared" si="9"/>
        <v>#NUM!</v>
      </c>
      <c r="AB14" t="e">
        <f t="shared" si="9"/>
        <v>#NUM!</v>
      </c>
      <c r="AC14">
        <f t="shared" si="10"/>
        <v>0</v>
      </c>
      <c r="AD14" t="e">
        <f t="shared" si="10"/>
        <v>#NUM!</v>
      </c>
      <c r="AE14" t="e">
        <f t="shared" si="10"/>
        <v>#NUM!</v>
      </c>
      <c r="AF14" t="e">
        <f t="shared" si="10"/>
        <v>#NUM!</v>
      </c>
    </row>
    <row r="15" spans="1:32" x14ac:dyDescent="0.3">
      <c r="A15" s="6"/>
      <c r="B15" t="s">
        <v>34</v>
      </c>
      <c r="C15">
        <v>271</v>
      </c>
      <c r="D15">
        <v>129</v>
      </c>
      <c r="E15">
        <v>23</v>
      </c>
      <c r="F15">
        <v>274</v>
      </c>
      <c r="G15">
        <v>207</v>
      </c>
      <c r="H15">
        <v>66</v>
      </c>
      <c r="I15">
        <v>291</v>
      </c>
      <c r="J15">
        <v>235</v>
      </c>
      <c r="K15">
        <v>45</v>
      </c>
      <c r="L15">
        <v>239</v>
      </c>
      <c r="M15">
        <v>135</v>
      </c>
      <c r="N15">
        <v>42</v>
      </c>
      <c r="P15" t="s">
        <v>34</v>
      </c>
      <c r="Q15">
        <f t="shared" si="0"/>
        <v>-68042</v>
      </c>
      <c r="R15">
        <f t="shared" si="1"/>
        <v>-89204</v>
      </c>
      <c r="S15">
        <f t="shared" si="2"/>
        <v>-94607</v>
      </c>
      <c r="T15">
        <f t="shared" si="3"/>
        <v>-78050</v>
      </c>
      <c r="U15">
        <f t="shared" si="4"/>
        <v>0</v>
      </c>
      <c r="V15">
        <f t="shared" si="5"/>
        <v>-21162</v>
      </c>
      <c r="W15">
        <f t="shared" si="6"/>
        <v>-26565</v>
      </c>
      <c r="X15">
        <f t="shared" si="7"/>
        <v>-10008</v>
      </c>
      <c r="Y15">
        <f t="shared" si="8"/>
        <v>1</v>
      </c>
      <c r="Z15" t="e">
        <f t="shared" si="8"/>
        <v>#NUM!</v>
      </c>
      <c r="AA15" t="e">
        <f t="shared" si="9"/>
        <v>#NUM!</v>
      </c>
      <c r="AB15" t="e">
        <f t="shared" si="9"/>
        <v>#NUM!</v>
      </c>
      <c r="AC15">
        <f t="shared" si="10"/>
        <v>0</v>
      </c>
      <c r="AD15" t="e">
        <f t="shared" si="10"/>
        <v>#NUM!</v>
      </c>
      <c r="AE15" t="e">
        <f t="shared" si="10"/>
        <v>#NUM!</v>
      </c>
      <c r="AF15" t="e">
        <f t="shared" si="10"/>
        <v>#NUM!</v>
      </c>
    </row>
    <row r="16" spans="1:32" x14ac:dyDescent="0.3">
      <c r="A16" s="6"/>
      <c r="B16" t="s">
        <v>35</v>
      </c>
      <c r="C16">
        <v>457</v>
      </c>
      <c r="D16">
        <v>950</v>
      </c>
      <c r="E16">
        <v>708</v>
      </c>
      <c r="F16">
        <v>462</v>
      </c>
      <c r="G16">
        <v>800</v>
      </c>
      <c r="H16">
        <v>1087</v>
      </c>
      <c r="I16">
        <v>469</v>
      </c>
      <c r="J16">
        <v>737</v>
      </c>
      <c r="K16">
        <v>889</v>
      </c>
      <c r="L16">
        <v>543</v>
      </c>
      <c r="M16">
        <v>541</v>
      </c>
      <c r="N16">
        <v>676</v>
      </c>
      <c r="P16" t="s">
        <v>35</v>
      </c>
      <c r="Q16">
        <f t="shared" si="0"/>
        <v>-67856</v>
      </c>
      <c r="R16">
        <f t="shared" si="1"/>
        <v>-89016</v>
      </c>
      <c r="S16">
        <f t="shared" si="2"/>
        <v>-94429</v>
      </c>
      <c r="T16">
        <f t="shared" si="3"/>
        <v>-77746</v>
      </c>
      <c r="U16">
        <f t="shared" si="4"/>
        <v>0</v>
      </c>
      <c r="V16">
        <f t="shared" si="5"/>
        <v>-21160</v>
      </c>
      <c r="W16">
        <f t="shared" si="6"/>
        <v>-26573</v>
      </c>
      <c r="X16">
        <f t="shared" si="7"/>
        <v>-9890</v>
      </c>
      <c r="Y16">
        <f t="shared" si="8"/>
        <v>1</v>
      </c>
      <c r="Z16" t="e">
        <f t="shared" si="8"/>
        <v>#NUM!</v>
      </c>
      <c r="AA16" t="e">
        <f t="shared" si="9"/>
        <v>#NUM!</v>
      </c>
      <c r="AB16" t="e">
        <f t="shared" si="9"/>
        <v>#NUM!</v>
      </c>
      <c r="AC16">
        <f t="shared" si="10"/>
        <v>0</v>
      </c>
      <c r="AD16" t="e">
        <f t="shared" si="10"/>
        <v>#NUM!</v>
      </c>
      <c r="AE16" t="e">
        <f t="shared" si="10"/>
        <v>#NUM!</v>
      </c>
      <c r="AF16" t="e">
        <f t="shared" si="10"/>
        <v>#NUM!</v>
      </c>
    </row>
    <row r="17" spans="1:32" x14ac:dyDescent="0.3">
      <c r="A17" s="6"/>
      <c r="B17" t="s">
        <v>36</v>
      </c>
      <c r="C17">
        <v>1837</v>
      </c>
      <c r="D17">
        <v>1526</v>
      </c>
      <c r="E17">
        <v>1184</v>
      </c>
      <c r="F17">
        <v>2260</v>
      </c>
      <c r="G17">
        <v>1956</v>
      </c>
      <c r="H17">
        <v>1395</v>
      </c>
      <c r="I17">
        <v>2271</v>
      </c>
      <c r="J17">
        <v>1927</v>
      </c>
      <c r="K17">
        <v>1003</v>
      </c>
      <c r="L17">
        <v>1902</v>
      </c>
      <c r="M17">
        <v>1251</v>
      </c>
      <c r="N17">
        <v>927</v>
      </c>
      <c r="P17" t="s">
        <v>36</v>
      </c>
      <c r="Q17">
        <f t="shared" si="0"/>
        <v>-66476</v>
      </c>
      <c r="R17">
        <f t="shared" si="1"/>
        <v>-87218</v>
      </c>
      <c r="S17">
        <f t="shared" si="2"/>
        <v>-92627</v>
      </c>
      <c r="T17">
        <f t="shared" si="3"/>
        <v>-76387</v>
      </c>
      <c r="U17">
        <f t="shared" si="4"/>
        <v>0</v>
      </c>
      <c r="V17">
        <f t="shared" si="5"/>
        <v>-20742</v>
      </c>
      <c r="W17">
        <f t="shared" si="6"/>
        <v>-26151</v>
      </c>
      <c r="X17">
        <f t="shared" si="7"/>
        <v>-9911</v>
      </c>
      <c r="Y17">
        <f t="shared" si="8"/>
        <v>1</v>
      </c>
      <c r="Z17" t="e">
        <f t="shared" si="8"/>
        <v>#NUM!</v>
      </c>
      <c r="AA17" t="e">
        <f t="shared" si="9"/>
        <v>#NUM!</v>
      </c>
      <c r="AB17" t="e">
        <f t="shared" si="9"/>
        <v>#NUM!</v>
      </c>
      <c r="AC17">
        <f t="shared" si="10"/>
        <v>0</v>
      </c>
      <c r="AD17" t="e">
        <f t="shared" si="10"/>
        <v>#NUM!</v>
      </c>
      <c r="AE17" t="e">
        <f t="shared" si="10"/>
        <v>#NUM!</v>
      </c>
      <c r="AF17" t="e">
        <f t="shared" si="10"/>
        <v>#NUM!</v>
      </c>
    </row>
    <row r="18" spans="1:32" x14ac:dyDescent="0.3">
      <c r="A18" s="6"/>
      <c r="B18" t="s">
        <v>37</v>
      </c>
      <c r="C18">
        <v>1403</v>
      </c>
      <c r="D18">
        <v>2200</v>
      </c>
      <c r="E18">
        <v>2111</v>
      </c>
      <c r="F18">
        <v>1663</v>
      </c>
      <c r="G18">
        <v>2231</v>
      </c>
      <c r="H18">
        <v>3267</v>
      </c>
      <c r="I18">
        <v>1724</v>
      </c>
      <c r="J18">
        <v>2020</v>
      </c>
      <c r="K18">
        <v>2873</v>
      </c>
      <c r="L18">
        <v>1735</v>
      </c>
      <c r="M18">
        <v>1699</v>
      </c>
      <c r="N18">
        <v>2286</v>
      </c>
      <c r="P18" t="s">
        <v>37</v>
      </c>
      <c r="Q18">
        <f t="shared" si="0"/>
        <v>-66910</v>
      </c>
      <c r="R18">
        <f t="shared" si="1"/>
        <v>-87815</v>
      </c>
      <c r="S18">
        <f t="shared" si="2"/>
        <v>-93174</v>
      </c>
      <c r="T18">
        <f t="shared" si="3"/>
        <v>-76554</v>
      </c>
      <c r="U18">
        <f t="shared" si="4"/>
        <v>0</v>
      </c>
      <c r="V18">
        <f t="shared" si="5"/>
        <v>-20905</v>
      </c>
      <c r="W18">
        <f t="shared" si="6"/>
        <v>-26264</v>
      </c>
      <c r="X18">
        <f t="shared" si="7"/>
        <v>-9644</v>
      </c>
      <c r="Y18">
        <f t="shared" si="8"/>
        <v>1</v>
      </c>
      <c r="Z18" t="e">
        <f t="shared" si="8"/>
        <v>#NUM!</v>
      </c>
      <c r="AA18" t="e">
        <f t="shared" si="9"/>
        <v>#NUM!</v>
      </c>
      <c r="AB18" t="e">
        <f t="shared" si="9"/>
        <v>#NUM!</v>
      </c>
      <c r="AC18">
        <f t="shared" si="10"/>
        <v>0</v>
      </c>
      <c r="AD18" t="e">
        <f t="shared" si="10"/>
        <v>#NUM!</v>
      </c>
      <c r="AE18" t="e">
        <f t="shared" si="10"/>
        <v>#NUM!</v>
      </c>
      <c r="AF18" t="e">
        <f t="shared" si="10"/>
        <v>#NUM!</v>
      </c>
    </row>
    <row r="19" spans="1:32" x14ac:dyDescent="0.3">
      <c r="A19" s="6"/>
      <c r="B19" t="s">
        <v>38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 t="s">
        <v>38</v>
      </c>
      <c r="Q19">
        <f t="shared" si="0"/>
        <v>-68313</v>
      </c>
      <c r="R19">
        <f t="shared" si="1"/>
        <v>-89478</v>
      </c>
      <c r="S19">
        <f t="shared" si="2"/>
        <v>-94898</v>
      </c>
      <c r="T19">
        <f t="shared" si="3"/>
        <v>-78289</v>
      </c>
      <c r="U19">
        <f t="shared" si="4"/>
        <v>0</v>
      </c>
      <c r="V19">
        <f t="shared" si="5"/>
        <v>-21165</v>
      </c>
      <c r="W19">
        <f t="shared" si="6"/>
        <v>-26585</v>
      </c>
      <c r="X19">
        <f t="shared" si="7"/>
        <v>-9976</v>
      </c>
      <c r="Y19">
        <f t="shared" si="8"/>
        <v>1</v>
      </c>
      <c r="Z19" t="e">
        <f t="shared" si="8"/>
        <v>#NUM!</v>
      </c>
      <c r="AA19" t="e">
        <f t="shared" si="9"/>
        <v>#NUM!</v>
      </c>
      <c r="AB19" t="e">
        <f t="shared" si="9"/>
        <v>#NUM!</v>
      </c>
      <c r="AC19">
        <f t="shared" si="10"/>
        <v>0</v>
      </c>
      <c r="AD19" t="e">
        <f t="shared" si="10"/>
        <v>#NUM!</v>
      </c>
      <c r="AE19" t="e">
        <f t="shared" si="10"/>
        <v>#NUM!</v>
      </c>
      <c r="AF19" t="e">
        <f t="shared" si="10"/>
        <v>#NUM!</v>
      </c>
    </row>
    <row r="20" spans="1:32" x14ac:dyDescent="0.3">
      <c r="A20" s="6"/>
      <c r="B20" t="s">
        <v>39</v>
      </c>
      <c r="C20">
        <v>1</v>
      </c>
      <c r="D20">
        <v>2</v>
      </c>
      <c r="E20">
        <v>2</v>
      </c>
      <c r="F20">
        <v>0</v>
      </c>
      <c r="G20">
        <v>0</v>
      </c>
      <c r="H20">
        <v>4</v>
      </c>
      <c r="I20">
        <v>3</v>
      </c>
      <c r="J20">
        <v>1</v>
      </c>
      <c r="K20">
        <v>4</v>
      </c>
      <c r="L20">
        <v>3</v>
      </c>
      <c r="M20">
        <v>0</v>
      </c>
      <c r="N20">
        <v>1</v>
      </c>
      <c r="P20" t="s">
        <v>39</v>
      </c>
      <c r="Q20">
        <f t="shared" si="0"/>
        <v>-68312</v>
      </c>
      <c r="R20">
        <f t="shared" si="1"/>
        <v>-89478</v>
      </c>
      <c r="S20">
        <f t="shared" si="2"/>
        <v>-94895</v>
      </c>
      <c r="T20">
        <f t="shared" si="3"/>
        <v>-78286</v>
      </c>
      <c r="U20">
        <f t="shared" si="4"/>
        <v>0</v>
      </c>
      <c r="V20">
        <f t="shared" si="5"/>
        <v>-21166</v>
      </c>
      <c r="W20">
        <f t="shared" si="6"/>
        <v>-26583</v>
      </c>
      <c r="X20">
        <f t="shared" si="7"/>
        <v>-9974</v>
      </c>
      <c r="Y20">
        <f t="shared" si="8"/>
        <v>1</v>
      </c>
      <c r="Z20" t="e">
        <f t="shared" si="8"/>
        <v>#NUM!</v>
      </c>
      <c r="AA20" t="e">
        <f t="shared" si="9"/>
        <v>#NUM!</v>
      </c>
      <c r="AB20" t="e">
        <f t="shared" si="9"/>
        <v>#NUM!</v>
      </c>
      <c r="AC20">
        <f t="shared" si="10"/>
        <v>0</v>
      </c>
      <c r="AD20" t="e">
        <f t="shared" si="10"/>
        <v>#NUM!</v>
      </c>
      <c r="AE20" t="e">
        <f t="shared" si="10"/>
        <v>#NUM!</v>
      </c>
      <c r="AF20" t="e">
        <f t="shared" si="10"/>
        <v>#NUM!</v>
      </c>
    </row>
    <row r="21" spans="1:32" x14ac:dyDescent="0.3">
      <c r="A21" s="6"/>
      <c r="B21" t="s">
        <v>40</v>
      </c>
      <c r="C21">
        <v>77</v>
      </c>
      <c r="D21">
        <v>48</v>
      </c>
      <c r="E21">
        <v>50</v>
      </c>
      <c r="F21">
        <v>64</v>
      </c>
      <c r="G21">
        <v>35</v>
      </c>
      <c r="H21">
        <v>66</v>
      </c>
      <c r="I21">
        <v>64</v>
      </c>
      <c r="J21">
        <v>39</v>
      </c>
      <c r="K21">
        <v>57</v>
      </c>
      <c r="L21">
        <v>50</v>
      </c>
      <c r="M21">
        <v>15</v>
      </c>
      <c r="N21">
        <v>51</v>
      </c>
      <c r="P21" t="s">
        <v>40</v>
      </c>
      <c r="Q21">
        <f t="shared" si="0"/>
        <v>-68236</v>
      </c>
      <c r="R21">
        <f t="shared" si="1"/>
        <v>-89414</v>
      </c>
      <c r="S21">
        <f t="shared" si="2"/>
        <v>-94834</v>
      </c>
      <c r="T21">
        <f t="shared" si="3"/>
        <v>-78239</v>
      </c>
      <c r="U21">
        <f t="shared" si="4"/>
        <v>0</v>
      </c>
      <c r="V21">
        <f t="shared" si="5"/>
        <v>-21178</v>
      </c>
      <c r="W21">
        <f t="shared" si="6"/>
        <v>-26598</v>
      </c>
      <c r="X21">
        <f t="shared" si="7"/>
        <v>-10003</v>
      </c>
      <c r="Y21">
        <f t="shared" si="8"/>
        <v>1</v>
      </c>
      <c r="Z21" t="e">
        <f t="shared" si="8"/>
        <v>#NUM!</v>
      </c>
      <c r="AA21" t="e">
        <f t="shared" si="9"/>
        <v>#NUM!</v>
      </c>
      <c r="AB21" t="e">
        <f t="shared" si="9"/>
        <v>#NUM!</v>
      </c>
      <c r="AC21">
        <f t="shared" si="10"/>
        <v>0</v>
      </c>
      <c r="AD21" t="e">
        <f t="shared" si="10"/>
        <v>#NUM!</v>
      </c>
      <c r="AE21" t="e">
        <f t="shared" si="10"/>
        <v>#NUM!</v>
      </c>
      <c r="AF21" t="e">
        <f t="shared" si="10"/>
        <v>#NUM!</v>
      </c>
    </row>
    <row r="22" spans="1:32" x14ac:dyDescent="0.3">
      <c r="A22" s="6"/>
      <c r="B22" t="s">
        <v>41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 t="s">
        <v>41</v>
      </c>
      <c r="Q22">
        <f t="shared" si="0"/>
        <v>-68313</v>
      </c>
      <c r="R22">
        <f t="shared" si="1"/>
        <v>-89477</v>
      </c>
      <c r="S22">
        <f t="shared" si="2"/>
        <v>-94898</v>
      </c>
      <c r="T22">
        <f t="shared" si="3"/>
        <v>-78289</v>
      </c>
      <c r="U22">
        <f t="shared" si="4"/>
        <v>0</v>
      </c>
      <c r="V22">
        <f t="shared" si="5"/>
        <v>-21164</v>
      </c>
      <c r="W22">
        <f t="shared" si="6"/>
        <v>-26585</v>
      </c>
      <c r="X22">
        <f t="shared" si="7"/>
        <v>-9976</v>
      </c>
      <c r="Y22">
        <f t="shared" si="8"/>
        <v>1</v>
      </c>
      <c r="Z22" t="e">
        <f t="shared" si="8"/>
        <v>#NUM!</v>
      </c>
      <c r="AA22" t="e">
        <f t="shared" si="9"/>
        <v>#NUM!</v>
      </c>
      <c r="AB22" t="e">
        <f t="shared" si="9"/>
        <v>#NUM!</v>
      </c>
      <c r="AC22">
        <f t="shared" si="10"/>
        <v>0</v>
      </c>
      <c r="AD22" t="e">
        <f t="shared" si="10"/>
        <v>#NUM!</v>
      </c>
      <c r="AE22" t="e">
        <f t="shared" si="10"/>
        <v>#NUM!</v>
      </c>
      <c r="AF22" t="e">
        <f t="shared" si="10"/>
        <v>#NUM!</v>
      </c>
    </row>
    <row r="23" spans="1:32" x14ac:dyDescent="0.3">
      <c r="A23" s="6"/>
      <c r="B23" t="s">
        <v>42</v>
      </c>
      <c r="C23">
        <v>990</v>
      </c>
      <c r="D23">
        <v>1504</v>
      </c>
      <c r="E23">
        <v>744</v>
      </c>
      <c r="F23">
        <v>1190</v>
      </c>
      <c r="G23">
        <v>1130</v>
      </c>
      <c r="H23">
        <v>1340</v>
      </c>
      <c r="I23">
        <v>1147</v>
      </c>
      <c r="J23">
        <v>999</v>
      </c>
      <c r="K23">
        <v>978</v>
      </c>
      <c r="L23">
        <v>1061</v>
      </c>
      <c r="M23">
        <v>711</v>
      </c>
      <c r="N23">
        <v>844</v>
      </c>
      <c r="P23" t="s">
        <v>42</v>
      </c>
      <c r="Q23">
        <f t="shared" si="0"/>
        <v>-67323</v>
      </c>
      <c r="R23">
        <f t="shared" si="1"/>
        <v>-88288</v>
      </c>
      <c r="S23">
        <f t="shared" si="2"/>
        <v>-93751</v>
      </c>
      <c r="T23">
        <f t="shared" si="3"/>
        <v>-77228</v>
      </c>
      <c r="U23">
        <f t="shared" si="4"/>
        <v>0</v>
      </c>
      <c r="V23">
        <f t="shared" si="5"/>
        <v>-20965</v>
      </c>
      <c r="W23">
        <f t="shared" si="6"/>
        <v>-26428</v>
      </c>
      <c r="X23">
        <f t="shared" si="7"/>
        <v>-9905</v>
      </c>
      <c r="Y23">
        <f t="shared" si="8"/>
        <v>1</v>
      </c>
      <c r="Z23" t="e">
        <f t="shared" si="8"/>
        <v>#NUM!</v>
      </c>
      <c r="AA23" t="e">
        <f t="shared" si="9"/>
        <v>#NUM!</v>
      </c>
      <c r="AB23" t="e">
        <f t="shared" si="9"/>
        <v>#NUM!</v>
      </c>
      <c r="AC23">
        <f t="shared" si="10"/>
        <v>0</v>
      </c>
      <c r="AD23" t="e">
        <f t="shared" si="10"/>
        <v>#NUM!</v>
      </c>
      <c r="AE23" t="e">
        <f t="shared" si="10"/>
        <v>#NUM!</v>
      </c>
      <c r="AF23" t="e">
        <f t="shared" si="10"/>
        <v>#NUM!</v>
      </c>
    </row>
    <row r="24" spans="1:32" x14ac:dyDescent="0.3">
      <c r="A24" s="6"/>
      <c r="B24" t="s">
        <v>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P24" t="s">
        <v>43</v>
      </c>
      <c r="Q24">
        <f t="shared" si="0"/>
        <v>-68313</v>
      </c>
      <c r="R24">
        <f t="shared" si="1"/>
        <v>-89478</v>
      </c>
      <c r="S24">
        <f t="shared" si="2"/>
        <v>-94898</v>
      </c>
      <c r="T24">
        <f t="shared" si="3"/>
        <v>-78289</v>
      </c>
      <c r="U24">
        <f t="shared" si="4"/>
        <v>0</v>
      </c>
      <c r="V24">
        <f t="shared" si="5"/>
        <v>-21165</v>
      </c>
      <c r="W24">
        <f t="shared" si="6"/>
        <v>-26585</v>
      </c>
      <c r="X24">
        <f t="shared" si="7"/>
        <v>-9976</v>
      </c>
      <c r="Y24">
        <f t="shared" si="8"/>
        <v>1</v>
      </c>
      <c r="Z24" t="e">
        <f t="shared" si="8"/>
        <v>#NUM!</v>
      </c>
      <c r="AA24" t="e">
        <f t="shared" si="9"/>
        <v>#NUM!</v>
      </c>
      <c r="AB24" t="e">
        <f t="shared" si="9"/>
        <v>#NUM!</v>
      </c>
      <c r="AC24">
        <f t="shared" si="10"/>
        <v>0</v>
      </c>
      <c r="AD24" t="e">
        <f t="shared" si="10"/>
        <v>#NUM!</v>
      </c>
      <c r="AE24" t="e">
        <f t="shared" si="10"/>
        <v>#NUM!</v>
      </c>
      <c r="AF24" t="e">
        <f t="shared" si="10"/>
        <v>#NUM!</v>
      </c>
    </row>
    <row r="25" spans="1:32" x14ac:dyDescent="0.3">
      <c r="A25" s="6"/>
      <c r="B25" t="s">
        <v>44</v>
      </c>
      <c r="C25">
        <v>9183</v>
      </c>
      <c r="D25">
        <v>7407</v>
      </c>
      <c r="E25">
        <v>6759</v>
      </c>
      <c r="F25">
        <v>12509</v>
      </c>
      <c r="G25">
        <v>8584</v>
      </c>
      <c r="H25">
        <v>10804</v>
      </c>
      <c r="I25">
        <v>12808</v>
      </c>
      <c r="J25">
        <v>8467</v>
      </c>
      <c r="K25">
        <v>9089</v>
      </c>
      <c r="L25">
        <v>10818</v>
      </c>
      <c r="M25">
        <v>6115</v>
      </c>
      <c r="N25">
        <v>7524</v>
      </c>
      <c r="P25" t="s">
        <v>44</v>
      </c>
      <c r="Q25">
        <f t="shared" si="0"/>
        <v>-59130</v>
      </c>
      <c r="R25">
        <f t="shared" si="1"/>
        <v>-76969</v>
      </c>
      <c r="S25">
        <f t="shared" si="2"/>
        <v>-82090</v>
      </c>
      <c r="T25">
        <f t="shared" si="3"/>
        <v>-67471</v>
      </c>
      <c r="U25">
        <f t="shared" si="4"/>
        <v>0</v>
      </c>
      <c r="V25">
        <f t="shared" si="5"/>
        <v>-17839</v>
      </c>
      <c r="W25">
        <f t="shared" si="6"/>
        <v>-22960</v>
      </c>
      <c r="X25">
        <f t="shared" si="7"/>
        <v>-8341</v>
      </c>
      <c r="Y25">
        <f t="shared" si="8"/>
        <v>1</v>
      </c>
      <c r="Z25" t="e">
        <f t="shared" si="8"/>
        <v>#NUM!</v>
      </c>
      <c r="AA25" t="e">
        <f t="shared" si="9"/>
        <v>#NUM!</v>
      </c>
      <c r="AB25" t="e">
        <f t="shared" si="9"/>
        <v>#NUM!</v>
      </c>
      <c r="AC25">
        <f t="shared" si="10"/>
        <v>0</v>
      </c>
      <c r="AD25" t="e">
        <f t="shared" si="10"/>
        <v>#NUM!</v>
      </c>
      <c r="AE25" t="e">
        <f t="shared" si="10"/>
        <v>#NUM!</v>
      </c>
      <c r="AF25" t="e">
        <f t="shared" si="10"/>
        <v>#NUM!</v>
      </c>
    </row>
    <row r="26" spans="1:32" x14ac:dyDescent="0.3">
      <c r="B26" t="s">
        <v>45</v>
      </c>
      <c r="C26">
        <v>85336.33</v>
      </c>
      <c r="D26">
        <v>113888.01</v>
      </c>
      <c r="E26">
        <v>91408</v>
      </c>
      <c r="F26">
        <v>110353.93</v>
      </c>
      <c r="G26">
        <v>104810</v>
      </c>
      <c r="H26">
        <v>154977.68</v>
      </c>
      <c r="I26">
        <v>111326</v>
      </c>
      <c r="J26">
        <v>95715</v>
      </c>
      <c r="K26">
        <v>123525.99</v>
      </c>
      <c r="L26">
        <v>93022</v>
      </c>
      <c r="M26">
        <v>64676.92</v>
      </c>
      <c r="N26">
        <v>106100.98</v>
      </c>
      <c r="P26" t="s">
        <v>45</v>
      </c>
      <c r="Q26">
        <f t="shared" si="0"/>
        <v>17023.330000000002</v>
      </c>
      <c r="R26">
        <f t="shared" si="1"/>
        <v>20875.929999999993</v>
      </c>
      <c r="S26">
        <f t="shared" si="2"/>
        <v>16428</v>
      </c>
      <c r="T26">
        <f t="shared" si="3"/>
        <v>14733</v>
      </c>
      <c r="U26">
        <f t="shared" si="4"/>
        <v>0</v>
      </c>
      <c r="V26">
        <f t="shared" si="5"/>
        <v>3852.5999999999913</v>
      </c>
      <c r="W26">
        <f t="shared" si="6"/>
        <v>-595.33000000000175</v>
      </c>
      <c r="X26">
        <f t="shared" si="7"/>
        <v>-2290.3300000000017</v>
      </c>
      <c r="Y26">
        <f t="shared" si="8"/>
        <v>1</v>
      </c>
      <c r="Z26">
        <f t="shared" si="8"/>
        <v>0</v>
      </c>
      <c r="AA26">
        <f t="shared" si="9"/>
        <v>1.6299989274613488E+179</v>
      </c>
      <c r="AB26" t="e">
        <f t="shared" si="9"/>
        <v>#NUM!</v>
      </c>
      <c r="AC26">
        <f t="shared" si="10"/>
        <v>0</v>
      </c>
      <c r="AD26" t="e">
        <f t="shared" si="10"/>
        <v>#NUM!</v>
      </c>
      <c r="AE26">
        <f t="shared" si="10"/>
        <v>595.33000000000175</v>
      </c>
      <c r="AF26" t="e">
        <f t="shared" si="10"/>
        <v>#NUM!</v>
      </c>
    </row>
    <row r="27" spans="1:32" x14ac:dyDescent="0.3">
      <c r="B27" t="s">
        <v>46</v>
      </c>
      <c r="C27">
        <v>10494</v>
      </c>
      <c r="D27">
        <v>13729</v>
      </c>
      <c r="E27">
        <v>10884</v>
      </c>
      <c r="F27">
        <v>13013</v>
      </c>
      <c r="G27">
        <v>14213</v>
      </c>
      <c r="H27">
        <v>16398</v>
      </c>
      <c r="I27">
        <v>13720</v>
      </c>
      <c r="J27">
        <v>12081</v>
      </c>
      <c r="K27">
        <v>13405</v>
      </c>
      <c r="L27">
        <v>12460</v>
      </c>
      <c r="M27">
        <v>8636</v>
      </c>
      <c r="N27">
        <v>9838</v>
      </c>
      <c r="P27" t="s">
        <v>46</v>
      </c>
      <c r="Q27">
        <f t="shared" si="0"/>
        <v>-57819</v>
      </c>
      <c r="R27">
        <f t="shared" si="1"/>
        <v>-76465</v>
      </c>
      <c r="S27">
        <f t="shared" si="2"/>
        <v>-81178</v>
      </c>
      <c r="T27">
        <f t="shared" si="3"/>
        <v>-65829</v>
      </c>
      <c r="U27">
        <f t="shared" si="4"/>
        <v>0</v>
      </c>
      <c r="V27">
        <f t="shared" si="5"/>
        <v>-18646</v>
      </c>
      <c r="W27">
        <f t="shared" si="6"/>
        <v>-23359</v>
      </c>
      <c r="X27">
        <f t="shared" si="7"/>
        <v>-8010</v>
      </c>
      <c r="Y27">
        <f t="shared" si="8"/>
        <v>1</v>
      </c>
      <c r="Z27" t="e">
        <f t="shared" si="8"/>
        <v>#NUM!</v>
      </c>
      <c r="AA27" t="e">
        <f t="shared" si="9"/>
        <v>#NUM!</v>
      </c>
      <c r="AB27" t="e">
        <f t="shared" si="9"/>
        <v>#NUM!</v>
      </c>
      <c r="AC27">
        <f t="shared" si="10"/>
        <v>0</v>
      </c>
      <c r="AD27" t="e">
        <f t="shared" si="10"/>
        <v>#NUM!</v>
      </c>
      <c r="AE27" t="e">
        <f t="shared" si="10"/>
        <v>#NUM!</v>
      </c>
      <c r="AF27" t="e">
        <f t="shared" si="10"/>
        <v>#NUM!</v>
      </c>
    </row>
    <row r="28" spans="1:32" x14ac:dyDescent="0.3">
      <c r="A28" s="9" t="s">
        <v>47</v>
      </c>
      <c r="B28" t="s">
        <v>48</v>
      </c>
      <c r="C28">
        <v>2024</v>
      </c>
      <c r="D28">
        <v>3856</v>
      </c>
      <c r="E28">
        <v>1959</v>
      </c>
      <c r="F28">
        <v>2416.9899999999998</v>
      </c>
      <c r="G28">
        <v>3936</v>
      </c>
      <c r="H28">
        <v>3215</v>
      </c>
      <c r="I28">
        <v>2533.2600000000002</v>
      </c>
      <c r="J28">
        <v>3798</v>
      </c>
      <c r="K28">
        <v>2788</v>
      </c>
      <c r="L28">
        <v>2554</v>
      </c>
      <c r="M28">
        <v>2771</v>
      </c>
      <c r="N28">
        <v>2052.0100000000002</v>
      </c>
      <c r="P28" t="s">
        <v>48</v>
      </c>
      <c r="Q28">
        <f t="shared" si="0"/>
        <v>-66289</v>
      </c>
      <c r="R28">
        <f t="shared" si="1"/>
        <v>-87061.01</v>
      </c>
      <c r="S28">
        <f t="shared" si="2"/>
        <v>-92364.74</v>
      </c>
      <c r="T28">
        <f t="shared" si="3"/>
        <v>-75735</v>
      </c>
      <c r="U28">
        <f t="shared" si="4"/>
        <v>0</v>
      </c>
      <c r="V28">
        <f t="shared" si="5"/>
        <v>-20772.009999999995</v>
      </c>
      <c r="W28">
        <f t="shared" si="6"/>
        <v>-26075.740000000005</v>
      </c>
      <c r="X28">
        <f t="shared" si="7"/>
        <v>-9446</v>
      </c>
      <c r="Y28">
        <f t="shared" si="8"/>
        <v>1</v>
      </c>
      <c r="Z28" t="e">
        <f t="shared" si="8"/>
        <v>#NUM!</v>
      </c>
      <c r="AA28" t="e">
        <f t="shared" si="9"/>
        <v>#NUM!</v>
      </c>
      <c r="AB28" t="e">
        <f t="shared" si="9"/>
        <v>#NUM!</v>
      </c>
      <c r="AC28">
        <f t="shared" si="10"/>
        <v>0</v>
      </c>
      <c r="AD28" t="e">
        <f t="shared" si="10"/>
        <v>#NUM!</v>
      </c>
      <c r="AE28" t="e">
        <f t="shared" si="10"/>
        <v>#NUM!</v>
      </c>
      <c r="AF28" t="e">
        <f t="shared" si="10"/>
        <v>#NUM!</v>
      </c>
    </row>
    <row r="29" spans="1:32" x14ac:dyDescent="0.3">
      <c r="A29" s="9"/>
      <c r="B29" t="s">
        <v>49</v>
      </c>
      <c r="C29">
        <v>140.99</v>
      </c>
      <c r="D29">
        <v>104.44</v>
      </c>
      <c r="E29">
        <v>157.49</v>
      </c>
      <c r="F29">
        <v>178.16</v>
      </c>
      <c r="G29">
        <v>143.94</v>
      </c>
      <c r="H29">
        <v>231.68</v>
      </c>
      <c r="I29">
        <v>202.79</v>
      </c>
      <c r="J29">
        <v>175.02</v>
      </c>
      <c r="K29">
        <v>187.07</v>
      </c>
      <c r="L29">
        <v>208</v>
      </c>
      <c r="M29">
        <v>89.13</v>
      </c>
      <c r="N29">
        <v>162.1</v>
      </c>
      <c r="P29" t="s">
        <v>49</v>
      </c>
      <c r="Q29">
        <f t="shared" si="0"/>
        <v>-68172.009999999995</v>
      </c>
      <c r="R29">
        <f t="shared" si="1"/>
        <v>-89299.839999999997</v>
      </c>
      <c r="S29">
        <f t="shared" si="2"/>
        <v>-94695.21</v>
      </c>
      <c r="T29">
        <f t="shared" si="3"/>
        <v>-78081</v>
      </c>
      <c r="U29">
        <f t="shared" si="4"/>
        <v>0</v>
      </c>
      <c r="V29">
        <f t="shared" si="5"/>
        <v>-21127.83</v>
      </c>
      <c r="W29">
        <f t="shared" si="6"/>
        <v>-26523.200000000012</v>
      </c>
      <c r="X29">
        <f t="shared" si="7"/>
        <v>-9908.9900000000052</v>
      </c>
      <c r="Y29">
        <f t="shared" si="8"/>
        <v>1</v>
      </c>
      <c r="Z29" t="e">
        <f t="shared" si="8"/>
        <v>#NUM!</v>
      </c>
      <c r="AA29" t="e">
        <f t="shared" si="9"/>
        <v>#NUM!</v>
      </c>
      <c r="AB29" t="e">
        <f t="shared" si="9"/>
        <v>#NUM!</v>
      </c>
      <c r="AC29">
        <f t="shared" si="10"/>
        <v>0</v>
      </c>
      <c r="AD29" t="e">
        <f t="shared" si="10"/>
        <v>#NUM!</v>
      </c>
      <c r="AE29" t="e">
        <f t="shared" si="10"/>
        <v>#NUM!</v>
      </c>
      <c r="AF29" t="e">
        <f t="shared" si="10"/>
        <v>#NUM!</v>
      </c>
    </row>
    <row r="30" spans="1:32" x14ac:dyDescent="0.3">
      <c r="A30" s="9"/>
      <c r="B30" t="s">
        <v>50</v>
      </c>
      <c r="C30">
        <v>8.1199999999999992</v>
      </c>
      <c r="D30">
        <v>10.14</v>
      </c>
      <c r="E30">
        <v>18.239999999999998</v>
      </c>
      <c r="F30">
        <v>18.12</v>
      </c>
      <c r="G30">
        <v>6.48</v>
      </c>
      <c r="H30">
        <v>17.11</v>
      </c>
      <c r="I30">
        <v>15.5</v>
      </c>
      <c r="J30">
        <v>10.95</v>
      </c>
      <c r="K30">
        <v>22.54</v>
      </c>
      <c r="L30">
        <v>9.06</v>
      </c>
      <c r="M30">
        <v>11.95</v>
      </c>
      <c r="N30">
        <v>16.64</v>
      </c>
      <c r="P30" t="s">
        <v>50</v>
      </c>
      <c r="Q30">
        <f t="shared" si="0"/>
        <v>-68304.88</v>
      </c>
      <c r="R30">
        <f t="shared" si="1"/>
        <v>-89459.88</v>
      </c>
      <c r="S30">
        <f t="shared" si="2"/>
        <v>-94882.5</v>
      </c>
      <c r="T30">
        <f t="shared" si="3"/>
        <v>-78279.94</v>
      </c>
      <c r="U30">
        <f t="shared" si="4"/>
        <v>0</v>
      </c>
      <c r="V30">
        <f t="shared" si="5"/>
        <v>-21155</v>
      </c>
      <c r="W30">
        <f t="shared" si="6"/>
        <v>-26577.619999999995</v>
      </c>
      <c r="X30">
        <f t="shared" si="7"/>
        <v>-9975.0599999999977</v>
      </c>
      <c r="Y30">
        <f t="shared" si="8"/>
        <v>1</v>
      </c>
      <c r="Z30" t="e">
        <f t="shared" si="8"/>
        <v>#NUM!</v>
      </c>
      <c r="AA30" t="e">
        <f t="shared" si="9"/>
        <v>#NUM!</v>
      </c>
      <c r="AB30" t="e">
        <f t="shared" si="9"/>
        <v>#NUM!</v>
      </c>
      <c r="AC30">
        <f t="shared" si="10"/>
        <v>0</v>
      </c>
      <c r="AD30" t="e">
        <f t="shared" si="10"/>
        <v>#NUM!</v>
      </c>
      <c r="AE30" t="e">
        <f t="shared" si="10"/>
        <v>#NUM!</v>
      </c>
      <c r="AF30" t="e">
        <f t="shared" si="10"/>
        <v>#NUM!</v>
      </c>
    </row>
    <row r="31" spans="1:32" x14ac:dyDescent="0.3">
      <c r="A31" s="9"/>
      <c r="B31" t="s">
        <v>51</v>
      </c>
      <c r="C31">
        <v>1468</v>
      </c>
      <c r="D31">
        <v>1985</v>
      </c>
      <c r="E31">
        <v>1469</v>
      </c>
      <c r="F31">
        <v>1971</v>
      </c>
      <c r="G31">
        <v>1949</v>
      </c>
      <c r="H31">
        <v>2549</v>
      </c>
      <c r="I31">
        <v>2193</v>
      </c>
      <c r="J31">
        <v>1739</v>
      </c>
      <c r="K31">
        <v>2070</v>
      </c>
      <c r="L31">
        <v>1701</v>
      </c>
      <c r="M31">
        <v>1272</v>
      </c>
      <c r="N31">
        <v>1663</v>
      </c>
      <c r="P31" t="s">
        <v>51</v>
      </c>
      <c r="Q31">
        <f t="shared" si="0"/>
        <v>-66845</v>
      </c>
      <c r="R31">
        <f t="shared" si="1"/>
        <v>-87507</v>
      </c>
      <c r="S31">
        <f t="shared" si="2"/>
        <v>-92705</v>
      </c>
      <c r="T31">
        <f t="shared" si="3"/>
        <v>-76588</v>
      </c>
      <c r="U31">
        <f t="shared" si="4"/>
        <v>0</v>
      </c>
      <c r="V31">
        <f t="shared" si="5"/>
        <v>-20662</v>
      </c>
      <c r="W31">
        <f t="shared" si="6"/>
        <v>-25860</v>
      </c>
      <c r="X31">
        <f t="shared" si="7"/>
        <v>-9743</v>
      </c>
      <c r="Y31">
        <f t="shared" si="8"/>
        <v>1</v>
      </c>
      <c r="Z31" t="e">
        <f t="shared" si="8"/>
        <v>#NUM!</v>
      </c>
      <c r="AA31" t="e">
        <f t="shared" si="9"/>
        <v>#NUM!</v>
      </c>
      <c r="AB31" t="e">
        <f t="shared" si="9"/>
        <v>#NUM!</v>
      </c>
      <c r="AC31">
        <f t="shared" si="10"/>
        <v>0</v>
      </c>
      <c r="AD31" t="e">
        <f t="shared" si="10"/>
        <v>#NUM!</v>
      </c>
      <c r="AE31" t="e">
        <f t="shared" si="10"/>
        <v>#NUM!</v>
      </c>
      <c r="AF31" t="e">
        <f t="shared" si="10"/>
        <v>#NUM!</v>
      </c>
    </row>
    <row r="32" spans="1:32" x14ac:dyDescent="0.3">
      <c r="A32" s="9"/>
      <c r="B32" t="s">
        <v>52</v>
      </c>
      <c r="C32">
        <v>315</v>
      </c>
      <c r="D32">
        <v>352</v>
      </c>
      <c r="E32">
        <v>330</v>
      </c>
      <c r="F32">
        <v>396</v>
      </c>
      <c r="G32">
        <v>346</v>
      </c>
      <c r="H32">
        <v>665</v>
      </c>
      <c r="I32">
        <v>435</v>
      </c>
      <c r="J32">
        <v>377</v>
      </c>
      <c r="K32">
        <v>559</v>
      </c>
      <c r="L32">
        <v>379</v>
      </c>
      <c r="M32">
        <v>299</v>
      </c>
      <c r="N32">
        <v>426</v>
      </c>
      <c r="P32" t="s">
        <v>52</v>
      </c>
      <c r="Q32">
        <f t="shared" si="0"/>
        <v>-67998</v>
      </c>
      <c r="R32">
        <f t="shared" si="1"/>
        <v>-89082</v>
      </c>
      <c r="S32">
        <f t="shared" si="2"/>
        <v>-94463</v>
      </c>
      <c r="T32">
        <f t="shared" si="3"/>
        <v>-77910</v>
      </c>
      <c r="U32">
        <f t="shared" si="4"/>
        <v>0</v>
      </c>
      <c r="V32">
        <f t="shared" si="5"/>
        <v>-21084</v>
      </c>
      <c r="W32">
        <f t="shared" si="6"/>
        <v>-26465</v>
      </c>
      <c r="X32">
        <f t="shared" si="7"/>
        <v>-9912</v>
      </c>
      <c r="Y32">
        <f t="shared" si="8"/>
        <v>1</v>
      </c>
      <c r="Z32" t="e">
        <f t="shared" si="8"/>
        <v>#NUM!</v>
      </c>
      <c r="AA32" t="e">
        <f t="shared" si="9"/>
        <v>#NUM!</v>
      </c>
      <c r="AB32" t="e">
        <f t="shared" si="9"/>
        <v>#NUM!</v>
      </c>
      <c r="AC32">
        <f t="shared" si="10"/>
        <v>0</v>
      </c>
      <c r="AD32" t="e">
        <f t="shared" si="10"/>
        <v>#NUM!</v>
      </c>
      <c r="AE32" t="e">
        <f t="shared" si="10"/>
        <v>#NUM!</v>
      </c>
      <c r="AF32" t="e">
        <f t="shared" si="10"/>
        <v>#NUM!</v>
      </c>
    </row>
    <row r="33" spans="1:32" x14ac:dyDescent="0.3">
      <c r="A33" s="9"/>
      <c r="B33" t="s">
        <v>53</v>
      </c>
      <c r="C33">
        <v>2247</v>
      </c>
      <c r="D33">
        <v>3477</v>
      </c>
      <c r="E33">
        <v>3073</v>
      </c>
      <c r="F33">
        <v>2722</v>
      </c>
      <c r="G33">
        <v>3242</v>
      </c>
      <c r="H33">
        <v>4824</v>
      </c>
      <c r="I33">
        <v>2687</v>
      </c>
      <c r="J33">
        <v>2970</v>
      </c>
      <c r="K33">
        <v>4114</v>
      </c>
      <c r="L33">
        <v>2385</v>
      </c>
      <c r="M33">
        <v>2238</v>
      </c>
      <c r="N33">
        <v>3054</v>
      </c>
      <c r="P33" t="s">
        <v>53</v>
      </c>
      <c r="Q33">
        <f t="shared" si="0"/>
        <v>-66066</v>
      </c>
      <c r="R33">
        <f t="shared" si="1"/>
        <v>-86756</v>
      </c>
      <c r="S33">
        <f t="shared" si="2"/>
        <v>-92211</v>
      </c>
      <c r="T33">
        <f t="shared" si="3"/>
        <v>-75904</v>
      </c>
      <c r="U33">
        <f t="shared" si="4"/>
        <v>0</v>
      </c>
      <c r="V33">
        <f t="shared" si="5"/>
        <v>-20690</v>
      </c>
      <c r="W33">
        <f t="shared" si="6"/>
        <v>-26145</v>
      </c>
      <c r="X33">
        <f t="shared" si="7"/>
        <v>-9838</v>
      </c>
      <c r="Y33">
        <f t="shared" si="8"/>
        <v>1</v>
      </c>
      <c r="Z33" t="e">
        <f t="shared" si="8"/>
        <v>#NUM!</v>
      </c>
      <c r="AA33" t="e">
        <f t="shared" si="9"/>
        <v>#NUM!</v>
      </c>
      <c r="AB33" t="e">
        <f t="shared" si="9"/>
        <v>#NUM!</v>
      </c>
      <c r="AC33">
        <f t="shared" si="10"/>
        <v>0</v>
      </c>
      <c r="AD33" t="e">
        <f t="shared" si="10"/>
        <v>#NUM!</v>
      </c>
      <c r="AE33" t="e">
        <f t="shared" si="10"/>
        <v>#NUM!</v>
      </c>
      <c r="AF33" t="e">
        <f t="shared" si="10"/>
        <v>#NUM!</v>
      </c>
    </row>
    <row r="34" spans="1:32" x14ac:dyDescent="0.3">
      <c r="A34" s="9"/>
      <c r="B34" t="s">
        <v>54</v>
      </c>
      <c r="C34">
        <v>2340</v>
      </c>
      <c r="D34">
        <v>3176</v>
      </c>
      <c r="E34">
        <v>2689</v>
      </c>
      <c r="F34">
        <v>3007</v>
      </c>
      <c r="G34">
        <v>3004</v>
      </c>
      <c r="H34">
        <v>4015</v>
      </c>
      <c r="I34">
        <v>3136</v>
      </c>
      <c r="J34">
        <v>2674</v>
      </c>
      <c r="K34">
        <v>3394</v>
      </c>
      <c r="L34">
        <v>2743</v>
      </c>
      <c r="M34">
        <v>2064</v>
      </c>
      <c r="N34">
        <v>2681</v>
      </c>
      <c r="P34" t="s">
        <v>54</v>
      </c>
      <c r="Q34">
        <f t="shared" si="0"/>
        <v>-65973</v>
      </c>
      <c r="R34">
        <f t="shared" si="1"/>
        <v>-86471</v>
      </c>
      <c r="S34">
        <f t="shared" si="2"/>
        <v>-91762</v>
      </c>
      <c r="T34">
        <f t="shared" si="3"/>
        <v>-75546</v>
      </c>
      <c r="U34">
        <f t="shared" si="4"/>
        <v>0</v>
      </c>
      <c r="V34">
        <f t="shared" si="5"/>
        <v>-20498</v>
      </c>
      <c r="W34">
        <f t="shared" si="6"/>
        <v>-25789</v>
      </c>
      <c r="X34">
        <f t="shared" si="7"/>
        <v>-9573</v>
      </c>
      <c r="Y34">
        <f t="shared" si="8"/>
        <v>1</v>
      </c>
      <c r="Z34" t="e">
        <f t="shared" si="8"/>
        <v>#NUM!</v>
      </c>
      <c r="AA34" t="e">
        <f t="shared" si="9"/>
        <v>#NUM!</v>
      </c>
      <c r="AB34" t="e">
        <f t="shared" si="9"/>
        <v>#NUM!</v>
      </c>
      <c r="AC34">
        <f t="shared" si="10"/>
        <v>0</v>
      </c>
      <c r="AD34" t="e">
        <f t="shared" si="10"/>
        <v>#NUM!</v>
      </c>
      <c r="AE34" t="e">
        <f t="shared" si="10"/>
        <v>#NUM!</v>
      </c>
      <c r="AF34" t="e">
        <f t="shared" si="10"/>
        <v>#NUM!</v>
      </c>
    </row>
    <row r="35" spans="1:32" x14ac:dyDescent="0.3">
      <c r="A35" s="9"/>
      <c r="B35" t="s">
        <v>55</v>
      </c>
      <c r="C35">
        <v>75.3</v>
      </c>
      <c r="D35">
        <v>67.62</v>
      </c>
      <c r="E35">
        <v>66.08</v>
      </c>
      <c r="F35">
        <v>60.04</v>
      </c>
      <c r="G35">
        <v>62.62</v>
      </c>
      <c r="H35">
        <v>85</v>
      </c>
      <c r="I35">
        <v>55.5</v>
      </c>
      <c r="J35">
        <v>59.99</v>
      </c>
      <c r="K35">
        <v>73.650000000000006</v>
      </c>
      <c r="L35">
        <v>33.46</v>
      </c>
      <c r="M35">
        <v>38</v>
      </c>
      <c r="N35">
        <v>59.49</v>
      </c>
      <c r="P35" t="s">
        <v>55</v>
      </c>
      <c r="Q35">
        <f t="shared" si="0"/>
        <v>-68237.7</v>
      </c>
      <c r="R35">
        <f t="shared" si="1"/>
        <v>-89417.96</v>
      </c>
      <c r="S35">
        <f t="shared" si="2"/>
        <v>-94842.5</v>
      </c>
      <c r="T35">
        <f t="shared" si="3"/>
        <v>-78255.539999999994</v>
      </c>
      <c r="U35">
        <f t="shared" si="4"/>
        <v>0</v>
      </c>
      <c r="V35">
        <f t="shared" si="5"/>
        <v>-21180.260000000009</v>
      </c>
      <c r="W35">
        <f t="shared" si="6"/>
        <v>-26604.800000000003</v>
      </c>
      <c r="X35">
        <f t="shared" si="7"/>
        <v>-10017.839999999997</v>
      </c>
      <c r="Y35">
        <f t="shared" si="8"/>
        <v>1</v>
      </c>
      <c r="Z35" t="e">
        <f t="shared" si="8"/>
        <v>#NUM!</v>
      </c>
      <c r="AA35" t="e">
        <f t="shared" si="9"/>
        <v>#NUM!</v>
      </c>
      <c r="AB35" t="e">
        <f t="shared" si="9"/>
        <v>#NUM!</v>
      </c>
      <c r="AC35">
        <f t="shared" si="10"/>
        <v>0</v>
      </c>
      <c r="AD35" t="e">
        <f t="shared" si="10"/>
        <v>#NUM!</v>
      </c>
      <c r="AE35" t="e">
        <f t="shared" si="10"/>
        <v>#NUM!</v>
      </c>
      <c r="AF35" t="e">
        <f t="shared" si="10"/>
        <v>#NUM!</v>
      </c>
    </row>
    <row r="36" spans="1:32" x14ac:dyDescent="0.3">
      <c r="A36" s="9"/>
      <c r="B36" t="s">
        <v>51</v>
      </c>
      <c r="C36">
        <v>1468</v>
      </c>
      <c r="D36">
        <v>1985</v>
      </c>
      <c r="E36">
        <v>1469</v>
      </c>
      <c r="F36">
        <v>1971</v>
      </c>
      <c r="G36">
        <v>1949</v>
      </c>
      <c r="H36">
        <v>2549</v>
      </c>
      <c r="I36">
        <v>2193</v>
      </c>
      <c r="J36">
        <v>1739</v>
      </c>
      <c r="K36">
        <v>2070</v>
      </c>
      <c r="L36">
        <v>1701</v>
      </c>
      <c r="M36">
        <v>1272</v>
      </c>
      <c r="N36">
        <v>1663</v>
      </c>
      <c r="P36" t="s">
        <v>51</v>
      </c>
      <c r="Q36">
        <f t="shared" si="0"/>
        <v>-66845</v>
      </c>
      <c r="R36">
        <f t="shared" si="1"/>
        <v>-87507</v>
      </c>
      <c r="S36">
        <f t="shared" si="2"/>
        <v>-92705</v>
      </c>
      <c r="T36">
        <f t="shared" si="3"/>
        <v>-76588</v>
      </c>
      <c r="U36">
        <f t="shared" si="4"/>
        <v>0</v>
      </c>
      <c r="V36">
        <f t="shared" si="5"/>
        <v>-20662</v>
      </c>
      <c r="W36">
        <f t="shared" si="6"/>
        <v>-25860</v>
      </c>
      <c r="X36">
        <f t="shared" si="7"/>
        <v>-9743</v>
      </c>
      <c r="Y36">
        <f t="shared" si="8"/>
        <v>1</v>
      </c>
      <c r="Z36" t="e">
        <f t="shared" si="8"/>
        <v>#NUM!</v>
      </c>
      <c r="AA36" t="e">
        <f t="shared" si="9"/>
        <v>#NUM!</v>
      </c>
      <c r="AB36" t="e">
        <f t="shared" si="9"/>
        <v>#NUM!</v>
      </c>
      <c r="AC36">
        <f t="shared" si="10"/>
        <v>0</v>
      </c>
      <c r="AD36" t="e">
        <f t="shared" si="10"/>
        <v>#NUM!</v>
      </c>
      <c r="AE36" t="e">
        <f t="shared" si="10"/>
        <v>#NUM!</v>
      </c>
      <c r="AF36" t="e">
        <f t="shared" si="10"/>
        <v>#NUM!</v>
      </c>
    </row>
    <row r="37" spans="1:32" x14ac:dyDescent="0.3">
      <c r="A37" s="9"/>
      <c r="B37" t="s">
        <v>56</v>
      </c>
      <c r="C37">
        <v>1507</v>
      </c>
      <c r="D37">
        <v>2076</v>
      </c>
      <c r="E37">
        <v>1785</v>
      </c>
      <c r="F37">
        <v>2108</v>
      </c>
      <c r="G37">
        <v>2087</v>
      </c>
      <c r="H37">
        <v>2412</v>
      </c>
      <c r="I37">
        <v>2102</v>
      </c>
      <c r="J37">
        <v>2038</v>
      </c>
      <c r="K37">
        <v>1954</v>
      </c>
      <c r="L37">
        <v>1926</v>
      </c>
      <c r="M37">
        <v>1498</v>
      </c>
      <c r="N37">
        <v>1574</v>
      </c>
      <c r="P37" t="s">
        <v>56</v>
      </c>
      <c r="Q37">
        <f t="shared" si="0"/>
        <v>-66806</v>
      </c>
      <c r="R37">
        <f t="shared" si="1"/>
        <v>-87370</v>
      </c>
      <c r="S37">
        <f t="shared" si="2"/>
        <v>-92796</v>
      </c>
      <c r="T37">
        <f t="shared" si="3"/>
        <v>-76363</v>
      </c>
      <c r="U37">
        <f t="shared" si="4"/>
        <v>0</v>
      </c>
      <c r="V37">
        <f t="shared" si="5"/>
        <v>-20564</v>
      </c>
      <c r="W37">
        <f t="shared" si="6"/>
        <v>-25990</v>
      </c>
      <c r="X37">
        <f t="shared" si="7"/>
        <v>-9557</v>
      </c>
      <c r="Y37">
        <f t="shared" si="8"/>
        <v>1</v>
      </c>
      <c r="Z37" t="e">
        <f t="shared" si="8"/>
        <v>#NUM!</v>
      </c>
      <c r="AA37" t="e">
        <f t="shared" si="9"/>
        <v>#NUM!</v>
      </c>
      <c r="AB37" t="e">
        <f t="shared" si="9"/>
        <v>#NUM!</v>
      </c>
      <c r="AC37">
        <f t="shared" si="10"/>
        <v>0</v>
      </c>
      <c r="AD37" t="e">
        <f t="shared" si="10"/>
        <v>#NUM!</v>
      </c>
      <c r="AE37" t="e">
        <f t="shared" si="10"/>
        <v>#NUM!</v>
      </c>
      <c r="AF37" t="e">
        <f t="shared" si="10"/>
        <v>#NUM!</v>
      </c>
    </row>
    <row r="38" spans="1:32" x14ac:dyDescent="0.3">
      <c r="A38" s="9"/>
      <c r="B38" t="s">
        <v>57</v>
      </c>
      <c r="C38">
        <v>0</v>
      </c>
      <c r="D38">
        <v>2</v>
      </c>
      <c r="E38">
        <v>1</v>
      </c>
      <c r="F38">
        <v>2</v>
      </c>
      <c r="G38">
        <v>5</v>
      </c>
      <c r="H38">
        <v>1</v>
      </c>
      <c r="I38">
        <v>3</v>
      </c>
      <c r="J38">
        <v>2</v>
      </c>
      <c r="K38">
        <v>2</v>
      </c>
      <c r="L38">
        <v>3</v>
      </c>
      <c r="M38">
        <v>1</v>
      </c>
      <c r="N38">
        <v>4</v>
      </c>
      <c r="P38" t="s">
        <v>57</v>
      </c>
      <c r="Q38">
        <f t="shared" si="0"/>
        <v>-68313</v>
      </c>
      <c r="R38">
        <f t="shared" si="1"/>
        <v>-89476</v>
      </c>
      <c r="S38">
        <f t="shared" si="2"/>
        <v>-94895</v>
      </c>
      <c r="T38">
        <f t="shared" si="3"/>
        <v>-78286</v>
      </c>
      <c r="U38">
        <f t="shared" si="4"/>
        <v>0</v>
      </c>
      <c r="V38">
        <f t="shared" si="5"/>
        <v>-21163</v>
      </c>
      <c r="W38">
        <f t="shared" si="6"/>
        <v>-26582</v>
      </c>
      <c r="X38">
        <f t="shared" si="7"/>
        <v>-9973</v>
      </c>
      <c r="Y38">
        <f t="shared" si="8"/>
        <v>1</v>
      </c>
      <c r="Z38" t="e">
        <f t="shared" si="8"/>
        <v>#NUM!</v>
      </c>
      <c r="AA38" t="e">
        <f t="shared" si="9"/>
        <v>#NUM!</v>
      </c>
      <c r="AB38" t="e">
        <f t="shared" si="9"/>
        <v>#NUM!</v>
      </c>
      <c r="AC38">
        <f t="shared" si="10"/>
        <v>0</v>
      </c>
      <c r="AD38" t="e">
        <f t="shared" si="10"/>
        <v>#NUM!</v>
      </c>
      <c r="AE38" t="e">
        <f t="shared" si="10"/>
        <v>#NUM!</v>
      </c>
      <c r="AF38" t="e">
        <f t="shared" si="10"/>
        <v>#NUM!</v>
      </c>
    </row>
    <row r="39" spans="1:32" x14ac:dyDescent="0.3">
      <c r="A39" s="9"/>
      <c r="B39" t="s">
        <v>58</v>
      </c>
      <c r="C39">
        <v>5</v>
      </c>
      <c r="D39">
        <v>1</v>
      </c>
      <c r="E39">
        <v>1</v>
      </c>
      <c r="F39">
        <v>2</v>
      </c>
      <c r="G39">
        <v>0</v>
      </c>
      <c r="H39">
        <v>1</v>
      </c>
      <c r="I39">
        <v>2</v>
      </c>
      <c r="J39">
        <v>2</v>
      </c>
      <c r="K39">
        <v>5</v>
      </c>
      <c r="L39">
        <v>3</v>
      </c>
      <c r="M39">
        <v>1</v>
      </c>
      <c r="N39">
        <v>2</v>
      </c>
      <c r="P39" t="s">
        <v>58</v>
      </c>
      <c r="Q39">
        <f t="shared" si="0"/>
        <v>-68308</v>
      </c>
      <c r="R39">
        <f t="shared" si="1"/>
        <v>-89476</v>
      </c>
      <c r="S39">
        <f t="shared" si="2"/>
        <v>-94896</v>
      </c>
      <c r="T39">
        <f t="shared" si="3"/>
        <v>-78286</v>
      </c>
      <c r="U39">
        <f t="shared" si="4"/>
        <v>0</v>
      </c>
      <c r="V39">
        <f t="shared" si="5"/>
        <v>-21168</v>
      </c>
      <c r="W39">
        <f t="shared" si="6"/>
        <v>-26588</v>
      </c>
      <c r="X39">
        <f t="shared" si="7"/>
        <v>-9978</v>
      </c>
      <c r="Y39">
        <f t="shared" si="8"/>
        <v>1</v>
      </c>
      <c r="Z39" t="e">
        <f t="shared" si="8"/>
        <v>#NUM!</v>
      </c>
      <c r="AA39" t="e">
        <f t="shared" si="9"/>
        <v>#NUM!</v>
      </c>
      <c r="AB39" t="e">
        <f t="shared" si="9"/>
        <v>#NUM!</v>
      </c>
      <c r="AC39">
        <f t="shared" si="10"/>
        <v>0</v>
      </c>
      <c r="AD39" t="e">
        <f t="shared" si="10"/>
        <v>#NUM!</v>
      </c>
      <c r="AE39" t="e">
        <f t="shared" si="10"/>
        <v>#NUM!</v>
      </c>
      <c r="AF39" t="e">
        <f t="shared" si="10"/>
        <v>#NUM!</v>
      </c>
    </row>
    <row r="40" spans="1:32" x14ac:dyDescent="0.3">
      <c r="A40" s="9"/>
      <c r="B40" t="s">
        <v>59</v>
      </c>
      <c r="C40">
        <v>11</v>
      </c>
      <c r="D40">
        <v>19</v>
      </c>
      <c r="E40">
        <v>10</v>
      </c>
      <c r="F40">
        <v>14</v>
      </c>
      <c r="G40">
        <v>18</v>
      </c>
      <c r="H40">
        <v>16</v>
      </c>
      <c r="I40">
        <v>14</v>
      </c>
      <c r="J40">
        <v>17</v>
      </c>
      <c r="K40">
        <v>14</v>
      </c>
      <c r="L40">
        <v>14</v>
      </c>
      <c r="M40">
        <v>7</v>
      </c>
      <c r="N40">
        <v>10</v>
      </c>
      <c r="P40" t="s">
        <v>59</v>
      </c>
      <c r="Q40">
        <f t="shared" si="0"/>
        <v>-68302</v>
      </c>
      <c r="R40">
        <f t="shared" si="1"/>
        <v>-89464</v>
      </c>
      <c r="S40">
        <f t="shared" si="2"/>
        <v>-94884</v>
      </c>
      <c r="T40">
        <f t="shared" si="3"/>
        <v>-78275</v>
      </c>
      <c r="U40">
        <f t="shared" si="4"/>
        <v>0</v>
      </c>
      <c r="V40">
        <f t="shared" si="5"/>
        <v>-21162</v>
      </c>
      <c r="W40">
        <f t="shared" si="6"/>
        <v>-26582</v>
      </c>
      <c r="X40">
        <f t="shared" si="7"/>
        <v>-9973</v>
      </c>
      <c r="Y40">
        <f t="shared" si="8"/>
        <v>1</v>
      </c>
      <c r="Z40" t="e">
        <f t="shared" si="8"/>
        <v>#NUM!</v>
      </c>
      <c r="AA40" t="e">
        <f t="shared" si="9"/>
        <v>#NUM!</v>
      </c>
      <c r="AB40" t="e">
        <f t="shared" si="9"/>
        <v>#NUM!</v>
      </c>
      <c r="AC40">
        <f t="shared" si="10"/>
        <v>0</v>
      </c>
      <c r="AD40" t="e">
        <f t="shared" si="10"/>
        <v>#NUM!</v>
      </c>
      <c r="AE40" t="e">
        <f t="shared" si="10"/>
        <v>#NUM!</v>
      </c>
      <c r="AF40" t="e">
        <f t="shared" si="10"/>
        <v>#NUM!</v>
      </c>
    </row>
    <row r="41" spans="1:32" x14ac:dyDescent="0.3">
      <c r="A41" s="9"/>
      <c r="B41" t="s">
        <v>60</v>
      </c>
      <c r="C41">
        <v>0</v>
      </c>
      <c r="D41">
        <v>2</v>
      </c>
      <c r="E41">
        <v>0</v>
      </c>
      <c r="F41">
        <v>1</v>
      </c>
      <c r="G41">
        <v>1</v>
      </c>
      <c r="H41">
        <v>3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P41" t="s">
        <v>60</v>
      </c>
      <c r="Q41">
        <f t="shared" si="0"/>
        <v>-68313</v>
      </c>
      <c r="R41">
        <f t="shared" si="1"/>
        <v>-89477</v>
      </c>
      <c r="S41">
        <f t="shared" si="2"/>
        <v>-94897</v>
      </c>
      <c r="T41">
        <f t="shared" si="3"/>
        <v>-78289</v>
      </c>
      <c r="U41">
        <f t="shared" si="4"/>
        <v>0</v>
      </c>
      <c r="V41">
        <f t="shared" si="5"/>
        <v>-21164</v>
      </c>
      <c r="W41">
        <f t="shared" si="6"/>
        <v>-26584</v>
      </c>
      <c r="X41">
        <f t="shared" si="7"/>
        <v>-9976</v>
      </c>
      <c r="Y41">
        <f t="shared" si="8"/>
        <v>1</v>
      </c>
      <c r="Z41" t="e">
        <f t="shared" si="8"/>
        <v>#NUM!</v>
      </c>
      <c r="AA41" t="e">
        <f t="shared" si="9"/>
        <v>#NUM!</v>
      </c>
      <c r="AB41" t="e">
        <f t="shared" si="9"/>
        <v>#NUM!</v>
      </c>
      <c r="AC41">
        <f t="shared" si="10"/>
        <v>0</v>
      </c>
      <c r="AD41" t="e">
        <f t="shared" si="10"/>
        <v>#NUM!</v>
      </c>
      <c r="AE41" t="e">
        <f t="shared" si="10"/>
        <v>#NUM!</v>
      </c>
      <c r="AF41" t="e">
        <f t="shared" si="10"/>
        <v>#NUM!</v>
      </c>
    </row>
    <row r="42" spans="1:32" x14ac:dyDescent="0.3">
      <c r="A42" s="9"/>
      <c r="B42" t="s">
        <v>61</v>
      </c>
      <c r="C42">
        <v>391.62</v>
      </c>
      <c r="D42">
        <v>553.70000000000005</v>
      </c>
      <c r="E42">
        <v>466.23</v>
      </c>
      <c r="F42">
        <v>481.84</v>
      </c>
      <c r="G42">
        <v>510.54</v>
      </c>
      <c r="H42">
        <v>732.38</v>
      </c>
      <c r="I42">
        <v>478.2</v>
      </c>
      <c r="J42">
        <v>447.73</v>
      </c>
      <c r="K42">
        <v>572.16</v>
      </c>
      <c r="L42">
        <v>477.19</v>
      </c>
      <c r="M42">
        <v>337.36</v>
      </c>
      <c r="N42">
        <v>452.52</v>
      </c>
      <c r="P42" t="s">
        <v>61</v>
      </c>
      <c r="Q42">
        <f t="shared" si="0"/>
        <v>-67921.38</v>
      </c>
      <c r="R42">
        <f t="shared" si="1"/>
        <v>-88996.160000000003</v>
      </c>
      <c r="S42">
        <f t="shared" si="2"/>
        <v>-94419.8</v>
      </c>
      <c r="T42">
        <f t="shared" si="3"/>
        <v>-77811.81</v>
      </c>
      <c r="U42">
        <f t="shared" si="4"/>
        <v>0</v>
      </c>
      <c r="V42">
        <f t="shared" si="5"/>
        <v>-21074.78</v>
      </c>
      <c r="W42">
        <f t="shared" si="6"/>
        <v>-26498.42</v>
      </c>
      <c r="X42">
        <f t="shared" si="7"/>
        <v>-9890.429999999993</v>
      </c>
      <c r="Y42">
        <f t="shared" si="8"/>
        <v>1</v>
      </c>
      <c r="Z42" t="e">
        <f t="shared" si="8"/>
        <v>#NUM!</v>
      </c>
      <c r="AA42" t="e">
        <f t="shared" si="9"/>
        <v>#NUM!</v>
      </c>
      <c r="AB42" t="e">
        <f t="shared" si="9"/>
        <v>#NUM!</v>
      </c>
      <c r="AC42">
        <f t="shared" si="10"/>
        <v>0</v>
      </c>
      <c r="AD42" t="e">
        <f t="shared" si="10"/>
        <v>#NUM!</v>
      </c>
      <c r="AE42" t="e">
        <f t="shared" si="10"/>
        <v>#NUM!</v>
      </c>
      <c r="AF42" t="e">
        <f t="shared" si="10"/>
        <v>#NUM!</v>
      </c>
    </row>
    <row r="43" spans="1:32" x14ac:dyDescent="0.3">
      <c r="A43" s="9"/>
      <c r="B43" t="s">
        <v>62</v>
      </c>
      <c r="C43">
        <v>474</v>
      </c>
      <c r="D43">
        <v>417</v>
      </c>
      <c r="E43">
        <v>172</v>
      </c>
      <c r="F43">
        <v>601</v>
      </c>
      <c r="G43">
        <v>426</v>
      </c>
      <c r="H43">
        <v>271</v>
      </c>
      <c r="I43">
        <v>629</v>
      </c>
      <c r="J43">
        <v>378</v>
      </c>
      <c r="K43">
        <v>181</v>
      </c>
      <c r="L43">
        <v>483</v>
      </c>
      <c r="M43">
        <v>247</v>
      </c>
      <c r="N43">
        <v>109</v>
      </c>
      <c r="P43" t="s">
        <v>62</v>
      </c>
      <c r="Q43">
        <f t="shared" si="0"/>
        <v>-67839</v>
      </c>
      <c r="R43">
        <f t="shared" si="1"/>
        <v>-88877</v>
      </c>
      <c r="S43">
        <f t="shared" si="2"/>
        <v>-94269</v>
      </c>
      <c r="T43">
        <f t="shared" si="3"/>
        <v>-77806</v>
      </c>
      <c r="U43">
        <f t="shared" si="4"/>
        <v>0</v>
      </c>
      <c r="V43">
        <f t="shared" si="5"/>
        <v>-21038</v>
      </c>
      <c r="W43">
        <f t="shared" si="6"/>
        <v>-26430</v>
      </c>
      <c r="X43">
        <f t="shared" si="7"/>
        <v>-9967</v>
      </c>
      <c r="Y43">
        <f t="shared" si="8"/>
        <v>1</v>
      </c>
      <c r="Z43" t="e">
        <f t="shared" si="8"/>
        <v>#NUM!</v>
      </c>
      <c r="AA43" t="e">
        <f t="shared" si="9"/>
        <v>#NUM!</v>
      </c>
      <c r="AB43" t="e">
        <f t="shared" si="9"/>
        <v>#NUM!</v>
      </c>
      <c r="AC43">
        <f t="shared" si="10"/>
        <v>0</v>
      </c>
      <c r="AD43" t="e">
        <f t="shared" si="10"/>
        <v>#NUM!</v>
      </c>
      <c r="AE43" t="e">
        <f t="shared" si="10"/>
        <v>#NUM!</v>
      </c>
      <c r="AF43" t="e">
        <f t="shared" si="10"/>
        <v>#NUM!</v>
      </c>
    </row>
    <row r="44" spans="1:32" x14ac:dyDescent="0.3">
      <c r="A44" s="9"/>
      <c r="B44" t="s">
        <v>63</v>
      </c>
      <c r="C44">
        <v>202</v>
      </c>
      <c r="D44">
        <v>204</v>
      </c>
      <c r="E44">
        <v>163</v>
      </c>
      <c r="F44">
        <v>249</v>
      </c>
      <c r="G44">
        <v>213</v>
      </c>
      <c r="H44">
        <v>335</v>
      </c>
      <c r="I44">
        <v>207</v>
      </c>
      <c r="J44">
        <v>192</v>
      </c>
      <c r="K44">
        <v>251</v>
      </c>
      <c r="L44">
        <v>186</v>
      </c>
      <c r="M44">
        <v>112</v>
      </c>
      <c r="N44">
        <v>216</v>
      </c>
      <c r="P44" t="s">
        <v>63</v>
      </c>
      <c r="Q44">
        <f t="shared" si="0"/>
        <v>-68111</v>
      </c>
      <c r="R44">
        <f t="shared" si="1"/>
        <v>-89229</v>
      </c>
      <c r="S44">
        <f t="shared" si="2"/>
        <v>-94691</v>
      </c>
      <c r="T44">
        <f t="shared" si="3"/>
        <v>-78103</v>
      </c>
      <c r="U44">
        <f t="shared" si="4"/>
        <v>0</v>
      </c>
      <c r="V44">
        <f t="shared" si="5"/>
        <v>-21118</v>
      </c>
      <c r="W44">
        <f t="shared" si="6"/>
        <v>-26580</v>
      </c>
      <c r="X44">
        <f t="shared" si="7"/>
        <v>-9992</v>
      </c>
      <c r="Y44">
        <f t="shared" si="8"/>
        <v>1</v>
      </c>
      <c r="Z44" t="e">
        <f t="shared" si="8"/>
        <v>#NUM!</v>
      </c>
      <c r="AA44" t="e">
        <f t="shared" si="9"/>
        <v>#NUM!</v>
      </c>
      <c r="AB44" t="e">
        <f t="shared" si="9"/>
        <v>#NUM!</v>
      </c>
      <c r="AC44">
        <f t="shared" si="10"/>
        <v>0</v>
      </c>
      <c r="AD44" t="e">
        <f t="shared" si="10"/>
        <v>#NUM!</v>
      </c>
      <c r="AE44" t="e">
        <f t="shared" si="10"/>
        <v>#NUM!</v>
      </c>
      <c r="AF44" t="e">
        <f t="shared" si="10"/>
        <v>#NUM!</v>
      </c>
    </row>
    <row r="45" spans="1:32" x14ac:dyDescent="0.3">
      <c r="A45" s="9"/>
      <c r="B45" t="s">
        <v>64</v>
      </c>
      <c r="C45">
        <v>28</v>
      </c>
      <c r="D45">
        <v>83</v>
      </c>
      <c r="E45">
        <v>54</v>
      </c>
      <c r="F45">
        <v>51</v>
      </c>
      <c r="G45">
        <v>51</v>
      </c>
      <c r="H45">
        <v>115</v>
      </c>
      <c r="I45">
        <v>35</v>
      </c>
      <c r="J45">
        <v>48</v>
      </c>
      <c r="K45">
        <v>91</v>
      </c>
      <c r="L45">
        <v>30</v>
      </c>
      <c r="M45">
        <v>37</v>
      </c>
      <c r="N45">
        <v>102</v>
      </c>
      <c r="P45" t="s">
        <v>64</v>
      </c>
      <c r="Q45">
        <f t="shared" si="0"/>
        <v>-68285</v>
      </c>
      <c r="R45">
        <f t="shared" si="1"/>
        <v>-89427</v>
      </c>
      <c r="S45">
        <f t="shared" si="2"/>
        <v>-94863</v>
      </c>
      <c r="T45">
        <f t="shared" si="3"/>
        <v>-78259</v>
      </c>
      <c r="U45">
        <f t="shared" si="4"/>
        <v>0</v>
      </c>
      <c r="V45">
        <f t="shared" si="5"/>
        <v>-21142</v>
      </c>
      <c r="W45">
        <f t="shared" si="6"/>
        <v>-26578</v>
      </c>
      <c r="X45">
        <f t="shared" si="7"/>
        <v>-9974</v>
      </c>
      <c r="Y45">
        <f t="shared" si="8"/>
        <v>1</v>
      </c>
      <c r="Z45" t="e">
        <f t="shared" si="8"/>
        <v>#NUM!</v>
      </c>
      <c r="AA45" t="e">
        <f t="shared" si="9"/>
        <v>#NUM!</v>
      </c>
      <c r="AB45" t="e">
        <f t="shared" si="9"/>
        <v>#NUM!</v>
      </c>
      <c r="AC45">
        <f t="shared" si="10"/>
        <v>0</v>
      </c>
      <c r="AD45" t="e">
        <f t="shared" si="10"/>
        <v>#NUM!</v>
      </c>
      <c r="AE45" t="e">
        <f t="shared" si="10"/>
        <v>#NUM!</v>
      </c>
      <c r="AF45" t="e">
        <f t="shared" si="10"/>
        <v>#NUM!</v>
      </c>
    </row>
    <row r="46" spans="1:32" x14ac:dyDescent="0.3">
      <c r="A46" s="9"/>
      <c r="B46" t="s">
        <v>65</v>
      </c>
      <c r="C46">
        <v>1</v>
      </c>
      <c r="D46">
        <v>0</v>
      </c>
      <c r="E46">
        <v>0</v>
      </c>
      <c r="F46">
        <v>2</v>
      </c>
      <c r="G46">
        <v>1</v>
      </c>
      <c r="H46">
        <v>0</v>
      </c>
      <c r="I46">
        <v>3</v>
      </c>
      <c r="J46">
        <v>2</v>
      </c>
      <c r="K46">
        <v>1</v>
      </c>
      <c r="L46">
        <v>0</v>
      </c>
      <c r="M46">
        <v>0</v>
      </c>
      <c r="N46">
        <v>1</v>
      </c>
      <c r="P46" t="s">
        <v>65</v>
      </c>
      <c r="Q46">
        <f t="shared" si="0"/>
        <v>-68312</v>
      </c>
      <c r="R46">
        <f t="shared" si="1"/>
        <v>-89476</v>
      </c>
      <c r="S46">
        <f t="shared" si="2"/>
        <v>-94895</v>
      </c>
      <c r="T46">
        <f t="shared" si="3"/>
        <v>-78289</v>
      </c>
      <c r="U46">
        <f t="shared" si="4"/>
        <v>0</v>
      </c>
      <c r="V46">
        <f t="shared" si="5"/>
        <v>-21164</v>
      </c>
      <c r="W46">
        <f t="shared" si="6"/>
        <v>-26583</v>
      </c>
      <c r="X46">
        <f t="shared" si="7"/>
        <v>-9977</v>
      </c>
      <c r="Y46">
        <f t="shared" si="8"/>
        <v>1</v>
      </c>
      <c r="Z46" t="e">
        <f t="shared" si="8"/>
        <v>#NUM!</v>
      </c>
      <c r="AA46" t="e">
        <f t="shared" si="9"/>
        <v>#NUM!</v>
      </c>
      <c r="AB46" t="e">
        <f t="shared" si="9"/>
        <v>#NUM!</v>
      </c>
      <c r="AC46">
        <f t="shared" si="10"/>
        <v>0</v>
      </c>
      <c r="AD46" t="e">
        <f t="shared" si="10"/>
        <v>#NUM!</v>
      </c>
      <c r="AE46" t="e">
        <f t="shared" si="10"/>
        <v>#NUM!</v>
      </c>
      <c r="AF46" t="e">
        <f t="shared" si="10"/>
        <v>#NUM!</v>
      </c>
    </row>
    <row r="47" spans="1:32" x14ac:dyDescent="0.3">
      <c r="A47" s="9"/>
      <c r="B47" t="s">
        <v>66</v>
      </c>
      <c r="C47">
        <v>70</v>
      </c>
      <c r="D47">
        <v>111</v>
      </c>
      <c r="E47">
        <v>48</v>
      </c>
      <c r="F47">
        <v>98</v>
      </c>
      <c r="G47">
        <v>98</v>
      </c>
      <c r="H47">
        <v>109</v>
      </c>
      <c r="I47">
        <v>109</v>
      </c>
      <c r="J47">
        <v>89</v>
      </c>
      <c r="K47">
        <v>92</v>
      </c>
      <c r="L47">
        <v>79</v>
      </c>
      <c r="M47">
        <v>57</v>
      </c>
      <c r="N47">
        <v>90</v>
      </c>
      <c r="P47" t="s">
        <v>66</v>
      </c>
      <c r="Q47">
        <f t="shared" si="0"/>
        <v>-68243</v>
      </c>
      <c r="R47">
        <f t="shared" si="1"/>
        <v>-89380</v>
      </c>
      <c r="S47">
        <f t="shared" si="2"/>
        <v>-94789</v>
      </c>
      <c r="T47">
        <f t="shared" si="3"/>
        <v>-78210</v>
      </c>
      <c r="U47">
        <f t="shared" si="4"/>
        <v>0</v>
      </c>
      <c r="V47">
        <f t="shared" si="5"/>
        <v>-21137</v>
      </c>
      <c r="W47">
        <f t="shared" si="6"/>
        <v>-26546</v>
      </c>
      <c r="X47">
        <f t="shared" si="7"/>
        <v>-9967</v>
      </c>
      <c r="Y47">
        <f t="shared" si="8"/>
        <v>1</v>
      </c>
      <c r="Z47" t="e">
        <f t="shared" si="8"/>
        <v>#NUM!</v>
      </c>
      <c r="AA47" t="e">
        <f t="shared" si="9"/>
        <v>#NUM!</v>
      </c>
      <c r="AB47" t="e">
        <f t="shared" si="9"/>
        <v>#NUM!</v>
      </c>
      <c r="AC47">
        <f t="shared" si="10"/>
        <v>0</v>
      </c>
      <c r="AD47" t="e">
        <f t="shared" si="10"/>
        <v>#NUM!</v>
      </c>
      <c r="AE47" t="e">
        <f t="shared" si="10"/>
        <v>#NUM!</v>
      </c>
      <c r="AF47" t="e">
        <f t="shared" si="10"/>
        <v>#NUM!</v>
      </c>
    </row>
    <row r="48" spans="1:32" x14ac:dyDescent="0.3">
      <c r="A48" s="9"/>
      <c r="B48" t="s">
        <v>67</v>
      </c>
      <c r="C48">
        <v>10</v>
      </c>
      <c r="D48">
        <v>14</v>
      </c>
      <c r="E48">
        <v>19</v>
      </c>
      <c r="F48">
        <v>21</v>
      </c>
      <c r="G48">
        <v>22</v>
      </c>
      <c r="H48">
        <v>25</v>
      </c>
      <c r="I48">
        <v>18</v>
      </c>
      <c r="J48">
        <v>13</v>
      </c>
      <c r="K48">
        <v>30</v>
      </c>
      <c r="L48">
        <v>17</v>
      </c>
      <c r="M48">
        <v>12</v>
      </c>
      <c r="N48">
        <v>28</v>
      </c>
      <c r="P48" t="s">
        <v>67</v>
      </c>
      <c r="Q48">
        <f t="shared" si="0"/>
        <v>-68303</v>
      </c>
      <c r="R48">
        <f t="shared" si="1"/>
        <v>-89457</v>
      </c>
      <c r="S48">
        <f t="shared" si="2"/>
        <v>-94880</v>
      </c>
      <c r="T48">
        <f t="shared" si="3"/>
        <v>-78272</v>
      </c>
      <c r="U48">
        <f t="shared" si="4"/>
        <v>0</v>
      </c>
      <c r="V48">
        <f t="shared" si="5"/>
        <v>-21154</v>
      </c>
      <c r="W48">
        <f t="shared" si="6"/>
        <v>-26577</v>
      </c>
      <c r="X48">
        <f t="shared" si="7"/>
        <v>-9969</v>
      </c>
      <c r="Y48">
        <f t="shared" si="8"/>
        <v>1</v>
      </c>
      <c r="Z48" t="e">
        <f t="shared" si="8"/>
        <v>#NUM!</v>
      </c>
      <c r="AA48" t="e">
        <f t="shared" si="9"/>
        <v>#NUM!</v>
      </c>
      <c r="AB48" t="e">
        <f t="shared" si="9"/>
        <v>#NUM!</v>
      </c>
      <c r="AC48">
        <f t="shared" si="10"/>
        <v>0</v>
      </c>
      <c r="AD48" t="e">
        <f t="shared" si="10"/>
        <v>#NUM!</v>
      </c>
      <c r="AE48" t="e">
        <f t="shared" si="10"/>
        <v>#NUM!</v>
      </c>
      <c r="AF48" t="e">
        <f t="shared" si="10"/>
        <v>#NUM!</v>
      </c>
    </row>
    <row r="49" spans="1:32" x14ac:dyDescent="0.3">
      <c r="A49" s="9"/>
      <c r="B49" t="s">
        <v>68</v>
      </c>
      <c r="C49">
        <v>598</v>
      </c>
      <c r="D49">
        <v>951</v>
      </c>
      <c r="E49">
        <v>580</v>
      </c>
      <c r="F49">
        <v>720</v>
      </c>
      <c r="G49">
        <v>752</v>
      </c>
      <c r="H49">
        <v>917</v>
      </c>
      <c r="I49">
        <v>704</v>
      </c>
      <c r="J49">
        <v>701</v>
      </c>
      <c r="K49">
        <v>771</v>
      </c>
      <c r="L49">
        <v>601</v>
      </c>
      <c r="M49">
        <v>471</v>
      </c>
      <c r="N49">
        <v>589</v>
      </c>
      <c r="P49" t="s">
        <v>68</v>
      </c>
      <c r="Q49">
        <f t="shared" si="0"/>
        <v>-67715</v>
      </c>
      <c r="R49">
        <f t="shared" si="1"/>
        <v>-88758</v>
      </c>
      <c r="S49">
        <f t="shared" si="2"/>
        <v>-94194</v>
      </c>
      <c r="T49">
        <f t="shared" si="3"/>
        <v>-77688</v>
      </c>
      <c r="U49">
        <f t="shared" si="4"/>
        <v>0</v>
      </c>
      <c r="V49">
        <f t="shared" si="5"/>
        <v>-21043</v>
      </c>
      <c r="W49">
        <f t="shared" si="6"/>
        <v>-26479</v>
      </c>
      <c r="X49">
        <f t="shared" si="7"/>
        <v>-9973</v>
      </c>
      <c r="Y49">
        <f t="shared" si="8"/>
        <v>1</v>
      </c>
      <c r="Z49" t="e">
        <f t="shared" si="8"/>
        <v>#NUM!</v>
      </c>
      <c r="AA49" t="e">
        <f t="shared" si="9"/>
        <v>#NUM!</v>
      </c>
      <c r="AB49" t="e">
        <f t="shared" si="9"/>
        <v>#NUM!</v>
      </c>
      <c r="AC49">
        <f t="shared" si="10"/>
        <v>0</v>
      </c>
      <c r="AD49" t="e">
        <f t="shared" si="10"/>
        <v>#NUM!</v>
      </c>
      <c r="AE49" t="e">
        <f t="shared" si="10"/>
        <v>#NUM!</v>
      </c>
      <c r="AF49" t="e">
        <f t="shared" si="10"/>
        <v>#NUM!</v>
      </c>
    </row>
    <row r="50" spans="1:32" x14ac:dyDescent="0.3">
      <c r="A50" s="9"/>
      <c r="B50" t="s">
        <v>69</v>
      </c>
      <c r="C50">
        <v>12370</v>
      </c>
      <c r="D50">
        <v>31435</v>
      </c>
      <c r="E50">
        <v>26496</v>
      </c>
      <c r="F50">
        <v>14385</v>
      </c>
      <c r="G50">
        <v>27297</v>
      </c>
      <c r="H50">
        <v>44432</v>
      </c>
      <c r="I50">
        <v>14028</v>
      </c>
      <c r="J50">
        <v>25826</v>
      </c>
      <c r="K50">
        <v>37495</v>
      </c>
      <c r="L50">
        <v>13467</v>
      </c>
      <c r="M50">
        <v>20332</v>
      </c>
      <c r="N50">
        <v>31076</v>
      </c>
      <c r="P50" t="s">
        <v>69</v>
      </c>
      <c r="Q50">
        <f t="shared" si="0"/>
        <v>-55943</v>
      </c>
      <c r="R50">
        <f t="shared" si="1"/>
        <v>-75093</v>
      </c>
      <c r="S50">
        <f t="shared" si="2"/>
        <v>-80870</v>
      </c>
      <c r="T50">
        <f t="shared" si="3"/>
        <v>-64822</v>
      </c>
      <c r="U50">
        <f t="shared" si="4"/>
        <v>0</v>
      </c>
      <c r="V50">
        <f t="shared" si="5"/>
        <v>-19150</v>
      </c>
      <c r="W50">
        <f t="shared" si="6"/>
        <v>-24927</v>
      </c>
      <c r="X50">
        <f t="shared" si="7"/>
        <v>-8879</v>
      </c>
      <c r="Y50">
        <f t="shared" si="8"/>
        <v>1</v>
      </c>
      <c r="Z50" t="e">
        <f t="shared" si="8"/>
        <v>#NUM!</v>
      </c>
      <c r="AA50" t="e">
        <f t="shared" si="9"/>
        <v>#NUM!</v>
      </c>
      <c r="AB50" t="e">
        <f t="shared" si="9"/>
        <v>#NUM!</v>
      </c>
      <c r="AC50">
        <f t="shared" si="10"/>
        <v>0</v>
      </c>
      <c r="AD50" t="e">
        <f t="shared" si="10"/>
        <v>#NUM!</v>
      </c>
      <c r="AE50" t="e">
        <f t="shared" si="10"/>
        <v>#NUM!</v>
      </c>
      <c r="AF50" t="e">
        <f t="shared" si="10"/>
        <v>#NUM!</v>
      </c>
    </row>
    <row r="51" spans="1:32" x14ac:dyDescent="0.3">
      <c r="A51" s="9"/>
      <c r="B51" t="s">
        <v>70</v>
      </c>
      <c r="C51">
        <v>23147</v>
      </c>
      <c r="D51">
        <v>33069</v>
      </c>
      <c r="E51">
        <v>24804</v>
      </c>
      <c r="F51">
        <v>28652</v>
      </c>
      <c r="G51">
        <v>30679</v>
      </c>
      <c r="H51">
        <v>39153</v>
      </c>
      <c r="I51">
        <v>28986</v>
      </c>
      <c r="J51">
        <v>28456</v>
      </c>
      <c r="K51">
        <v>33246</v>
      </c>
      <c r="L51">
        <v>25727</v>
      </c>
      <c r="M51">
        <v>20270</v>
      </c>
      <c r="N51">
        <v>26516</v>
      </c>
      <c r="P51" t="s">
        <v>70</v>
      </c>
      <c r="Q51">
        <f t="shared" si="0"/>
        <v>-45166</v>
      </c>
      <c r="R51">
        <f t="shared" si="1"/>
        <v>-60826</v>
      </c>
      <c r="S51">
        <f t="shared" si="2"/>
        <v>-65912</v>
      </c>
      <c r="T51">
        <f t="shared" si="3"/>
        <v>-52562</v>
      </c>
      <c r="U51">
        <f t="shared" si="4"/>
        <v>0</v>
      </c>
      <c r="V51">
        <f t="shared" si="5"/>
        <v>-15660</v>
      </c>
      <c r="W51">
        <f t="shared" si="6"/>
        <v>-20746</v>
      </c>
      <c r="X51">
        <f t="shared" si="7"/>
        <v>-7396</v>
      </c>
      <c r="Y51">
        <f t="shared" si="8"/>
        <v>1</v>
      </c>
      <c r="Z51" t="e">
        <f t="shared" si="8"/>
        <v>#NUM!</v>
      </c>
      <c r="AA51" t="e">
        <f t="shared" si="9"/>
        <v>#NUM!</v>
      </c>
      <c r="AB51" t="e">
        <f t="shared" si="9"/>
        <v>#NUM!</v>
      </c>
      <c r="AC51">
        <f t="shared" si="10"/>
        <v>0</v>
      </c>
      <c r="AD51" t="e">
        <f t="shared" si="10"/>
        <v>#NUM!</v>
      </c>
      <c r="AE51" t="e">
        <f t="shared" si="10"/>
        <v>#NUM!</v>
      </c>
      <c r="AF51" t="e">
        <f t="shared" si="10"/>
        <v>#NUM!</v>
      </c>
    </row>
    <row r="52" spans="1:32" x14ac:dyDescent="0.3">
      <c r="A52" s="9"/>
      <c r="B52" t="s">
        <v>71</v>
      </c>
      <c r="C52">
        <v>6129</v>
      </c>
      <c r="D52">
        <v>8045</v>
      </c>
      <c r="E52">
        <v>8766</v>
      </c>
      <c r="F52">
        <v>8249</v>
      </c>
      <c r="G52">
        <v>8400</v>
      </c>
      <c r="H52">
        <v>13246</v>
      </c>
      <c r="I52">
        <v>8812</v>
      </c>
      <c r="J52">
        <v>8099</v>
      </c>
      <c r="K52">
        <v>11796</v>
      </c>
      <c r="L52">
        <v>8167</v>
      </c>
      <c r="M52">
        <v>5950</v>
      </c>
      <c r="N52">
        <v>9590</v>
      </c>
      <c r="P52" t="s">
        <v>71</v>
      </c>
      <c r="Q52">
        <f t="shared" si="0"/>
        <v>-62184</v>
      </c>
      <c r="R52">
        <f t="shared" si="1"/>
        <v>-81229</v>
      </c>
      <c r="S52">
        <f t="shared" si="2"/>
        <v>-86086</v>
      </c>
      <c r="T52">
        <f t="shared" si="3"/>
        <v>-70122</v>
      </c>
      <c r="U52">
        <f t="shared" si="4"/>
        <v>0</v>
      </c>
      <c r="V52">
        <f t="shared" si="5"/>
        <v>-19045</v>
      </c>
      <c r="W52">
        <f t="shared" si="6"/>
        <v>-23902</v>
      </c>
      <c r="X52">
        <f t="shared" si="7"/>
        <v>-7938</v>
      </c>
      <c r="Y52">
        <f t="shared" si="8"/>
        <v>1</v>
      </c>
      <c r="Z52" t="e">
        <f t="shared" si="8"/>
        <v>#NUM!</v>
      </c>
      <c r="AA52" t="e">
        <f t="shared" si="9"/>
        <v>#NUM!</v>
      </c>
      <c r="AB52" t="e">
        <f t="shared" si="9"/>
        <v>#NUM!</v>
      </c>
      <c r="AC52">
        <f t="shared" si="10"/>
        <v>0</v>
      </c>
      <c r="AD52" t="e">
        <f t="shared" si="10"/>
        <v>#NUM!</v>
      </c>
      <c r="AE52" t="e">
        <f t="shared" si="10"/>
        <v>#NUM!</v>
      </c>
      <c r="AF52" t="e">
        <f t="shared" si="10"/>
        <v>#NUM!</v>
      </c>
    </row>
    <row r="53" spans="1:32" x14ac:dyDescent="0.3">
      <c r="A53" s="9"/>
      <c r="B53" t="s">
        <v>72</v>
      </c>
      <c r="C53">
        <v>1038</v>
      </c>
      <c r="D53">
        <v>1979</v>
      </c>
      <c r="E53">
        <v>1331</v>
      </c>
      <c r="F53">
        <v>1368</v>
      </c>
      <c r="G53">
        <v>1542</v>
      </c>
      <c r="H53">
        <v>2774</v>
      </c>
      <c r="I53">
        <v>1317</v>
      </c>
      <c r="J53">
        <v>1565</v>
      </c>
      <c r="K53">
        <v>2866</v>
      </c>
      <c r="L53">
        <v>868</v>
      </c>
      <c r="M53">
        <v>1514</v>
      </c>
      <c r="N53">
        <v>2354</v>
      </c>
      <c r="P53" t="s">
        <v>72</v>
      </c>
      <c r="Q53">
        <f t="shared" si="0"/>
        <v>-67275</v>
      </c>
      <c r="R53">
        <f t="shared" si="1"/>
        <v>-88110</v>
      </c>
      <c r="S53">
        <f t="shared" si="2"/>
        <v>-93581</v>
      </c>
      <c r="T53">
        <f t="shared" si="3"/>
        <v>-77421</v>
      </c>
      <c r="U53">
        <f t="shared" si="4"/>
        <v>0</v>
      </c>
      <c r="V53">
        <f t="shared" si="5"/>
        <v>-20835</v>
      </c>
      <c r="W53">
        <f t="shared" si="6"/>
        <v>-26306</v>
      </c>
      <c r="X53">
        <f t="shared" si="7"/>
        <v>-10146</v>
      </c>
      <c r="Y53">
        <f t="shared" si="8"/>
        <v>1</v>
      </c>
      <c r="Z53" t="e">
        <f t="shared" si="8"/>
        <v>#NUM!</v>
      </c>
      <c r="AA53" t="e">
        <f t="shared" si="9"/>
        <v>#NUM!</v>
      </c>
      <c r="AB53" t="e">
        <f t="shared" si="9"/>
        <v>#NUM!</v>
      </c>
      <c r="AC53">
        <f t="shared" si="10"/>
        <v>0</v>
      </c>
      <c r="AD53" t="e">
        <f t="shared" si="10"/>
        <v>#NUM!</v>
      </c>
      <c r="AE53" t="e">
        <f t="shared" si="10"/>
        <v>#NUM!</v>
      </c>
      <c r="AF53" t="e">
        <f t="shared" si="10"/>
        <v>#NUM!</v>
      </c>
    </row>
    <row r="54" spans="1:32" x14ac:dyDescent="0.3">
      <c r="A54" s="9"/>
      <c r="B54" t="s">
        <v>73</v>
      </c>
      <c r="C54">
        <v>0</v>
      </c>
      <c r="D54">
        <v>0</v>
      </c>
      <c r="E54">
        <v>0</v>
      </c>
      <c r="F54">
        <v>0</v>
      </c>
      <c r="G54">
        <v>1</v>
      </c>
      <c r="H54">
        <v>3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P54" t="s">
        <v>73</v>
      </c>
      <c r="Q54">
        <f t="shared" si="0"/>
        <v>-68313</v>
      </c>
      <c r="R54">
        <f t="shared" si="1"/>
        <v>-89478</v>
      </c>
      <c r="S54">
        <f t="shared" si="2"/>
        <v>-94897</v>
      </c>
      <c r="T54">
        <f t="shared" si="3"/>
        <v>-78289</v>
      </c>
      <c r="U54">
        <f t="shared" si="4"/>
        <v>0</v>
      </c>
      <c r="V54">
        <f t="shared" si="5"/>
        <v>-21165</v>
      </c>
      <c r="W54">
        <f t="shared" si="6"/>
        <v>-26584</v>
      </c>
      <c r="X54">
        <f t="shared" si="7"/>
        <v>-9976</v>
      </c>
      <c r="Y54">
        <f t="shared" si="8"/>
        <v>1</v>
      </c>
      <c r="Z54" t="e">
        <f t="shared" si="8"/>
        <v>#NUM!</v>
      </c>
      <c r="AA54" t="e">
        <f t="shared" si="9"/>
        <v>#NUM!</v>
      </c>
      <c r="AB54" t="e">
        <f t="shared" si="9"/>
        <v>#NUM!</v>
      </c>
      <c r="AC54">
        <f t="shared" si="10"/>
        <v>0</v>
      </c>
      <c r="AD54" t="e">
        <f t="shared" si="10"/>
        <v>#NUM!</v>
      </c>
      <c r="AE54" t="e">
        <f t="shared" si="10"/>
        <v>#NUM!</v>
      </c>
      <c r="AF54" t="e">
        <f t="shared" si="10"/>
        <v>#NUM!</v>
      </c>
    </row>
    <row r="55" spans="1:32" x14ac:dyDescent="0.3">
      <c r="A55" s="9"/>
      <c r="B55" t="s">
        <v>74</v>
      </c>
      <c r="C55">
        <v>38</v>
      </c>
      <c r="D55">
        <v>39</v>
      </c>
      <c r="E55">
        <v>56</v>
      </c>
      <c r="F55">
        <v>53</v>
      </c>
      <c r="G55">
        <v>49</v>
      </c>
      <c r="H55">
        <v>85</v>
      </c>
      <c r="I55">
        <v>47</v>
      </c>
      <c r="J55">
        <v>51</v>
      </c>
      <c r="K55">
        <v>85</v>
      </c>
      <c r="L55">
        <v>38</v>
      </c>
      <c r="M55">
        <v>37</v>
      </c>
      <c r="N55">
        <v>69</v>
      </c>
      <c r="P55" t="s">
        <v>74</v>
      </c>
      <c r="Q55">
        <f t="shared" si="0"/>
        <v>-68275</v>
      </c>
      <c r="R55">
        <f t="shared" si="1"/>
        <v>-89425</v>
      </c>
      <c r="S55">
        <f t="shared" si="2"/>
        <v>-94851</v>
      </c>
      <c r="T55">
        <f t="shared" si="3"/>
        <v>-78251</v>
      </c>
      <c r="U55">
        <f t="shared" si="4"/>
        <v>0</v>
      </c>
      <c r="V55">
        <f t="shared" si="5"/>
        <v>-21150</v>
      </c>
      <c r="W55">
        <f t="shared" si="6"/>
        <v>-26576</v>
      </c>
      <c r="X55">
        <f t="shared" si="7"/>
        <v>-9976</v>
      </c>
      <c r="Y55">
        <f t="shared" si="8"/>
        <v>1</v>
      </c>
      <c r="Z55" t="e">
        <f t="shared" si="8"/>
        <v>#NUM!</v>
      </c>
      <c r="AA55" t="e">
        <f t="shared" si="9"/>
        <v>#NUM!</v>
      </c>
      <c r="AB55" t="e">
        <f t="shared" si="9"/>
        <v>#NUM!</v>
      </c>
      <c r="AC55">
        <f t="shared" si="10"/>
        <v>0</v>
      </c>
      <c r="AD55" t="e">
        <f t="shared" si="10"/>
        <v>#NUM!</v>
      </c>
      <c r="AE55" t="e">
        <f t="shared" si="10"/>
        <v>#NUM!</v>
      </c>
      <c r="AF55" t="e">
        <f t="shared" si="10"/>
        <v>#NUM!</v>
      </c>
    </row>
    <row r="56" spans="1:32" x14ac:dyDescent="0.3">
      <c r="A56" s="9"/>
      <c r="B56" t="s">
        <v>75</v>
      </c>
      <c r="C56">
        <v>1742.1</v>
      </c>
      <c r="D56">
        <v>1412.75</v>
      </c>
      <c r="E56">
        <v>837.79</v>
      </c>
      <c r="F56">
        <v>2415.65</v>
      </c>
      <c r="G56">
        <v>1625.39</v>
      </c>
      <c r="H56">
        <v>1679.64</v>
      </c>
      <c r="I56">
        <v>2688.84</v>
      </c>
      <c r="J56">
        <v>1843.14</v>
      </c>
      <c r="K56">
        <v>1558.24</v>
      </c>
      <c r="L56">
        <v>2373.5500000000002</v>
      </c>
      <c r="M56">
        <v>1293.6300000000001</v>
      </c>
      <c r="N56">
        <v>1519.04</v>
      </c>
      <c r="P56" t="s">
        <v>75</v>
      </c>
      <c r="Q56">
        <f t="shared" si="0"/>
        <v>-66570.899999999994</v>
      </c>
      <c r="R56">
        <f t="shared" si="1"/>
        <v>-87062.35</v>
      </c>
      <c r="S56">
        <f t="shared" si="2"/>
        <v>-92209.16</v>
      </c>
      <c r="T56">
        <f t="shared" si="3"/>
        <v>-75915.45</v>
      </c>
      <c r="U56">
        <f t="shared" si="4"/>
        <v>0</v>
      </c>
      <c r="V56">
        <f t="shared" si="5"/>
        <v>-20491.450000000012</v>
      </c>
      <c r="W56">
        <f t="shared" si="6"/>
        <v>-25638.260000000009</v>
      </c>
      <c r="X56">
        <f t="shared" si="7"/>
        <v>-9344.5500000000029</v>
      </c>
      <c r="Y56">
        <f t="shared" si="8"/>
        <v>1</v>
      </c>
      <c r="Z56" t="e">
        <f t="shared" si="8"/>
        <v>#NUM!</v>
      </c>
      <c r="AA56" t="e">
        <f t="shared" si="9"/>
        <v>#NUM!</v>
      </c>
      <c r="AB56" t="e">
        <f t="shared" si="9"/>
        <v>#NUM!</v>
      </c>
      <c r="AC56">
        <f t="shared" si="10"/>
        <v>0</v>
      </c>
      <c r="AD56" t="e">
        <f t="shared" si="10"/>
        <v>#NUM!</v>
      </c>
      <c r="AE56" t="e">
        <f t="shared" si="10"/>
        <v>#NUM!</v>
      </c>
      <c r="AF56" t="e">
        <f t="shared" si="10"/>
        <v>#NUM!</v>
      </c>
    </row>
  </sheetData>
  <mergeCells count="7">
    <mergeCell ref="A28:A56"/>
    <mergeCell ref="Q1:T1"/>
    <mergeCell ref="U1:X1"/>
    <mergeCell ref="Y1:AB1"/>
    <mergeCell ref="AC1:AF1"/>
    <mergeCell ref="B2:N2"/>
    <mergeCell ref="A3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Count Fold Changes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Conde, Daniel A</dc:creator>
  <cp:lastModifiedBy>Conde, Daniel A</cp:lastModifiedBy>
  <dcterms:created xsi:type="dcterms:W3CDTF">2026-03-25T23:48:30Z</dcterms:created>
  <dcterms:modified xsi:type="dcterms:W3CDTF">2026-03-25T23:51:14Z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2026-03-25T23:50:45Z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93787039-49f2-4fa4-9a32-eae227251d34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